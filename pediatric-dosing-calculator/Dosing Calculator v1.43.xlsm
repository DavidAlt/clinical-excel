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D:\OneDrive\Medicine\Clinic tools\"/>
    </mc:Choice>
  </mc:AlternateContent>
  <xr:revisionPtr revIDLastSave="0" documentId="13_ncr:1_{5EFB67DA-B41D-44F7-A792-19CB603DA783}" xr6:coauthVersionLast="37" xr6:coauthVersionMax="37" xr10:uidLastSave="{00000000-0000-0000-0000-000000000000}"/>
  <bookViews>
    <workbookView xWindow="0" yWindow="0" windowWidth="28800" windowHeight="12360" xr2:uid="{00000000-000D-0000-FFFF-FFFF00000000}"/>
  </bookViews>
  <sheets>
    <sheet name="dosing" sheetId="6" r:id="rId1"/>
    <sheet name="dose check" sheetId="7" r:id="rId2"/>
    <sheet name="dose tools" sheetId="8" r:id="rId3"/>
    <sheet name="Readme" sheetId="4" r:id="rId4"/>
  </sheets>
  <definedNames>
    <definedName name="dose">'dose check'!$B$5</definedName>
    <definedName name="freq">'dose check'!$B$6</definedName>
    <definedName name="kg" localSheetId="1">'dose check'!$B$4</definedName>
    <definedName name="kg" localSheetId="2">'dose tools'!$C$2</definedName>
    <definedName name="kg" localSheetId="0">dosing!$B$4</definedName>
    <definedName name="LIMIT1">'dose check'!$D$6</definedName>
    <definedName name="LIMIT2">'dose check'!$E$6</definedName>
    <definedName name="Slicer_Drug">#N/A</definedName>
    <definedName name="Slicer_Drug2">#N/A</definedName>
  </definedNames>
  <calcPr calcId="17902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22" i="8" l="1"/>
  <c r="L22" i="8" s="1"/>
  <c r="H22" i="8"/>
  <c r="I22" i="8" s="1"/>
  <c r="H17" i="8"/>
  <c r="K17" i="8" s="1"/>
  <c r="L17" i="8" s="1"/>
  <c r="I12" i="8"/>
  <c r="E12" i="8"/>
  <c r="E7" i="8"/>
  <c r="I7" i="8" s="1"/>
  <c r="P32" i="7"/>
  <c r="O32" i="7"/>
  <c r="N32" i="7"/>
  <c r="M32" i="7"/>
  <c r="I32" i="7"/>
  <c r="J32" i="7" s="1"/>
  <c r="Q32" i="7" s="1"/>
  <c r="P31" i="7"/>
  <c r="O31" i="7"/>
  <c r="N31" i="7"/>
  <c r="M31" i="7"/>
  <c r="I31" i="7"/>
  <c r="J31" i="7" s="1"/>
  <c r="P30" i="7"/>
  <c r="O30" i="7"/>
  <c r="N30" i="7"/>
  <c r="M30" i="7"/>
  <c r="I30" i="7"/>
  <c r="J30" i="7" s="1"/>
  <c r="P29" i="7"/>
  <c r="O29" i="7"/>
  <c r="N29" i="7"/>
  <c r="M29" i="7"/>
  <c r="I29" i="7"/>
  <c r="J29" i="7" s="1"/>
  <c r="P28" i="7"/>
  <c r="O28" i="7"/>
  <c r="N28" i="7"/>
  <c r="M28" i="7"/>
  <c r="I28" i="7"/>
  <c r="J28" i="7" s="1"/>
  <c r="Q28" i="7" s="1"/>
  <c r="P27" i="7"/>
  <c r="O27" i="7"/>
  <c r="N27" i="7"/>
  <c r="M27" i="7"/>
  <c r="I27" i="7"/>
  <c r="J27" i="7" s="1"/>
  <c r="P26" i="7"/>
  <c r="O26" i="7"/>
  <c r="N26" i="7"/>
  <c r="M26" i="7"/>
  <c r="I26" i="7"/>
  <c r="J26" i="7" s="1"/>
  <c r="P25" i="7"/>
  <c r="O25" i="7"/>
  <c r="N25" i="7"/>
  <c r="M25" i="7"/>
  <c r="I25" i="7"/>
  <c r="J25" i="7" s="1"/>
  <c r="P24" i="7"/>
  <c r="O24" i="7"/>
  <c r="N24" i="7"/>
  <c r="M24" i="7"/>
  <c r="I24" i="7"/>
  <c r="J24" i="7" s="1"/>
  <c r="Q24" i="7" s="1"/>
  <c r="P23" i="7"/>
  <c r="O23" i="7"/>
  <c r="N23" i="7"/>
  <c r="M23" i="7"/>
  <c r="I23" i="7"/>
  <c r="J23" i="7" s="1"/>
  <c r="P22" i="7"/>
  <c r="O22" i="7"/>
  <c r="N22" i="7"/>
  <c r="M22" i="7"/>
  <c r="I22" i="7"/>
  <c r="J22" i="7" s="1"/>
  <c r="P21" i="7"/>
  <c r="O21" i="7"/>
  <c r="N21" i="7"/>
  <c r="M21" i="7"/>
  <c r="I21" i="7"/>
  <c r="J21" i="7" s="1"/>
  <c r="P20" i="7"/>
  <c r="O20" i="7"/>
  <c r="N20" i="7"/>
  <c r="M20" i="7"/>
  <c r="I20" i="7"/>
  <c r="J20" i="7" s="1"/>
  <c r="Q20" i="7" s="1"/>
  <c r="P19" i="7"/>
  <c r="O19" i="7"/>
  <c r="N19" i="7"/>
  <c r="M19" i="7"/>
  <c r="I19" i="7"/>
  <c r="J19" i="7" s="1"/>
  <c r="P18" i="7"/>
  <c r="O18" i="7"/>
  <c r="N18" i="7"/>
  <c r="M18" i="7"/>
  <c r="I18" i="7"/>
  <c r="J18" i="7" s="1"/>
  <c r="P17" i="7"/>
  <c r="O17" i="7"/>
  <c r="N17" i="7"/>
  <c r="M17" i="7"/>
  <c r="I17" i="7"/>
  <c r="J17" i="7" s="1"/>
  <c r="P16" i="7"/>
  <c r="O16" i="7"/>
  <c r="N16" i="7"/>
  <c r="M16" i="7"/>
  <c r="I16" i="7"/>
  <c r="J16" i="7" s="1"/>
  <c r="Q16" i="7" s="1"/>
  <c r="P15" i="7"/>
  <c r="O15" i="7"/>
  <c r="N15" i="7"/>
  <c r="M15" i="7"/>
  <c r="I15" i="7"/>
  <c r="J15" i="7" s="1"/>
  <c r="P14" i="7"/>
  <c r="O14" i="7"/>
  <c r="N14" i="7"/>
  <c r="M14" i="7"/>
  <c r="I14" i="7"/>
  <c r="J14" i="7" s="1"/>
  <c r="P13" i="7"/>
  <c r="O13" i="7"/>
  <c r="N13" i="7"/>
  <c r="M13" i="7"/>
  <c r="I13" i="7"/>
  <c r="J13" i="7" s="1"/>
  <c r="Q13" i="7" s="1"/>
  <c r="P12" i="7"/>
  <c r="O12" i="7"/>
  <c r="N12" i="7"/>
  <c r="M12" i="7"/>
  <c r="I12" i="7"/>
  <c r="J12" i="7" s="1"/>
  <c r="Q12" i="7" s="1"/>
  <c r="P11" i="7"/>
  <c r="O11" i="7"/>
  <c r="N11" i="7"/>
  <c r="M11" i="7"/>
  <c r="I11" i="7"/>
  <c r="J11" i="7" s="1"/>
  <c r="P10" i="7"/>
  <c r="O10" i="7"/>
  <c r="N10" i="7"/>
  <c r="M10" i="7"/>
  <c r="I10" i="7"/>
  <c r="J10" i="7" s="1"/>
  <c r="Q10" i="7" s="1"/>
  <c r="P9" i="7"/>
  <c r="O9" i="7"/>
  <c r="N9" i="7"/>
  <c r="M9" i="7"/>
  <c r="I9" i="7"/>
  <c r="J9" i="7" s="1"/>
  <c r="Q43" i="6"/>
  <c r="P43" i="6"/>
  <c r="R43" i="6" s="1"/>
  <c r="S42" i="6"/>
  <c r="R42" i="6"/>
  <c r="Q42" i="6"/>
  <c r="T42" i="6" s="1"/>
  <c r="P42" i="6"/>
  <c r="S41" i="6"/>
  <c r="R41" i="6"/>
  <c r="Q41" i="6"/>
  <c r="T41" i="6" s="1"/>
  <c r="P41" i="6"/>
  <c r="S40" i="6"/>
  <c r="R40" i="6"/>
  <c r="Q40" i="6"/>
  <c r="T40" i="6" s="1"/>
  <c r="P40" i="6"/>
  <c r="Q39" i="6"/>
  <c r="P39" i="6"/>
  <c r="R39" i="6" s="1"/>
  <c r="Q38" i="6"/>
  <c r="P38" i="6"/>
  <c r="R38" i="6" s="1"/>
  <c r="Q37" i="6"/>
  <c r="P37" i="6"/>
  <c r="R37" i="6" s="1"/>
  <c r="Q36" i="6"/>
  <c r="P36" i="6"/>
  <c r="R36" i="6" s="1"/>
  <c r="Q35" i="6"/>
  <c r="P35" i="6"/>
  <c r="Q34" i="6"/>
  <c r="P34" i="6"/>
  <c r="Q33" i="6"/>
  <c r="P33" i="6"/>
  <c r="R33" i="6" s="1"/>
  <c r="Q32" i="6"/>
  <c r="P32" i="6"/>
  <c r="R32" i="6" s="1"/>
  <c r="Q31" i="6"/>
  <c r="P31" i="6"/>
  <c r="R31" i="6" s="1"/>
  <c r="Q30" i="6"/>
  <c r="N30" i="6" s="1"/>
  <c r="P30" i="6"/>
  <c r="R30" i="6" s="1"/>
  <c r="Q29" i="6"/>
  <c r="P29" i="6"/>
  <c r="R29" i="6" s="1"/>
  <c r="Q28" i="6"/>
  <c r="P28" i="6"/>
  <c r="R28" i="6" s="1"/>
  <c r="Q27" i="6"/>
  <c r="P27" i="6"/>
  <c r="Q26" i="6"/>
  <c r="P26" i="6"/>
  <c r="Q25" i="6"/>
  <c r="P25" i="6"/>
  <c r="R25" i="6" s="1"/>
  <c r="Q24" i="6"/>
  <c r="P24" i="6"/>
  <c r="R24" i="6" s="1"/>
  <c r="Q23" i="6"/>
  <c r="P23" i="6"/>
  <c r="R23" i="6" s="1"/>
  <c r="Q22" i="6"/>
  <c r="P22" i="6"/>
  <c r="R22" i="6" s="1"/>
  <c r="Q21" i="6"/>
  <c r="P21" i="6"/>
  <c r="R21" i="6" s="1"/>
  <c r="Q20" i="6"/>
  <c r="P20" i="6"/>
  <c r="R20" i="6" s="1"/>
  <c r="Q19" i="6"/>
  <c r="P19" i="6"/>
  <c r="Q18" i="6"/>
  <c r="P18" i="6"/>
  <c r="Q17" i="6"/>
  <c r="P17" i="6"/>
  <c r="R17" i="6" s="1"/>
  <c r="Q16" i="6"/>
  <c r="T16" i="6" s="1"/>
  <c r="P16" i="6"/>
  <c r="R16" i="6" s="1"/>
  <c r="Q15" i="6"/>
  <c r="T15" i="6" s="1"/>
  <c r="P15" i="6"/>
  <c r="Q14" i="6"/>
  <c r="T14" i="6" s="1"/>
  <c r="P14" i="6"/>
  <c r="R14" i="6" s="1"/>
  <c r="Q13" i="6"/>
  <c r="T13" i="6" s="1"/>
  <c r="P13" i="6"/>
  <c r="R13" i="6" s="1"/>
  <c r="Q12" i="6"/>
  <c r="T12" i="6" s="1"/>
  <c r="P12" i="6"/>
  <c r="R12" i="6" s="1"/>
  <c r="Q11" i="6"/>
  <c r="T11" i="6" s="1"/>
  <c r="P11" i="6"/>
  <c r="R11" i="6" s="1"/>
  <c r="Q10" i="6"/>
  <c r="T10" i="6" s="1"/>
  <c r="P10" i="6"/>
  <c r="R10" i="6" s="1"/>
  <c r="Q9" i="6"/>
  <c r="T9" i="6" s="1"/>
  <c r="P9" i="6"/>
  <c r="R9" i="6" s="1"/>
  <c r="T31" i="7" l="1"/>
  <c r="L32" i="7"/>
  <c r="K16" i="7"/>
  <c r="N35" i="6"/>
  <c r="Q29" i="7"/>
  <c r="R29" i="7" s="1"/>
  <c r="S29" i="7" s="1"/>
  <c r="K32" i="7"/>
  <c r="N18" i="6"/>
  <c r="N26" i="6"/>
  <c r="T17" i="7"/>
  <c r="T15" i="7"/>
  <c r="L16" i="7"/>
  <c r="T18" i="7"/>
  <c r="Q21" i="7"/>
  <c r="R21" i="7" s="1"/>
  <c r="S21" i="7" s="1"/>
  <c r="K24" i="7"/>
  <c r="T25" i="7"/>
  <c r="L24" i="7"/>
  <c r="Q9" i="7"/>
  <c r="R9" i="7" s="1"/>
  <c r="S9" i="7" s="1"/>
  <c r="K12" i="7"/>
  <c r="T13" i="7"/>
  <c r="T19" i="7"/>
  <c r="L20" i="7"/>
  <c r="Q25" i="7"/>
  <c r="R25" i="7" s="1"/>
  <c r="S25" i="7" s="1"/>
  <c r="K28" i="7"/>
  <c r="T11" i="7"/>
  <c r="L12" i="7"/>
  <c r="T14" i="7"/>
  <c r="Q17" i="7"/>
  <c r="R17" i="7" s="1"/>
  <c r="S17" i="7" s="1"/>
  <c r="K20" i="7"/>
  <c r="L28" i="7"/>
  <c r="T30" i="7"/>
  <c r="Q15" i="7"/>
  <c r="R15" i="7" s="1"/>
  <c r="S15" i="7" s="1"/>
  <c r="Q23" i="7"/>
  <c r="R23" i="7" s="1"/>
  <c r="S23" i="7" s="1"/>
  <c r="Q31" i="7"/>
  <c r="R31" i="7" s="1"/>
  <c r="S31" i="7" s="1"/>
  <c r="Q11" i="7"/>
  <c r="R11" i="7" s="1"/>
  <c r="S11" i="7" s="1"/>
  <c r="Q19" i="7"/>
  <c r="R19" i="7" s="1"/>
  <c r="S19" i="7" s="1"/>
  <c r="Q27" i="7"/>
  <c r="R27" i="7" s="1"/>
  <c r="S27" i="7" s="1"/>
  <c r="N23" i="6"/>
  <c r="N31" i="6"/>
  <c r="N38" i="6"/>
  <c r="M42" i="6"/>
  <c r="K10" i="7"/>
  <c r="L14" i="7"/>
  <c r="K18" i="7"/>
  <c r="L22" i="7"/>
  <c r="K26" i="7"/>
  <c r="L30" i="7"/>
  <c r="L10" i="7"/>
  <c r="K14" i="7"/>
  <c r="L18" i="7"/>
  <c r="K22" i="7"/>
  <c r="L26" i="7"/>
  <c r="K30" i="7"/>
  <c r="R20" i="7"/>
  <c r="S20" i="7" s="1"/>
  <c r="R28" i="7"/>
  <c r="S28" i="7" s="1"/>
  <c r="R10" i="7"/>
  <c r="S10" i="7" s="1"/>
  <c r="R16" i="7"/>
  <c r="S16" i="7" s="1"/>
  <c r="R32" i="7"/>
  <c r="S32" i="7" s="1"/>
  <c r="R24" i="7"/>
  <c r="S24" i="7" s="1"/>
  <c r="R12" i="7"/>
  <c r="S12" i="7" s="1"/>
  <c r="T10" i="7"/>
  <c r="R13" i="7"/>
  <c r="S13" i="7" s="1"/>
  <c r="Q14" i="7"/>
  <c r="Q18" i="7"/>
  <c r="Q22" i="7"/>
  <c r="T23" i="7"/>
  <c r="Q26" i="7"/>
  <c r="T27" i="7"/>
  <c r="Q30" i="7"/>
  <c r="T12" i="7"/>
  <c r="T16" i="7"/>
  <c r="T20" i="7"/>
  <c r="T24" i="7"/>
  <c r="T28" i="7"/>
  <c r="T32" i="7"/>
  <c r="T9" i="7"/>
  <c r="T21" i="7"/>
  <c r="T29" i="7"/>
  <c r="T22" i="7"/>
  <c r="T26" i="7"/>
  <c r="L9" i="7"/>
  <c r="K11" i="7"/>
  <c r="L13" i="7"/>
  <c r="K15" i="7"/>
  <c r="L17" i="7"/>
  <c r="K19" i="7"/>
  <c r="L21" i="7"/>
  <c r="K23" i="7"/>
  <c r="L25" i="7"/>
  <c r="K27" i="7"/>
  <c r="L29" i="7"/>
  <c r="K31" i="7"/>
  <c r="N22" i="6"/>
  <c r="N39" i="6"/>
  <c r="N19" i="6"/>
  <c r="N27" i="6"/>
  <c r="N34" i="6"/>
  <c r="N43" i="6"/>
  <c r="K9" i="7"/>
  <c r="L11" i="7"/>
  <c r="K13" i="7"/>
  <c r="L15" i="7"/>
  <c r="K17" i="7"/>
  <c r="L19" i="7"/>
  <c r="K21" i="7"/>
  <c r="L23" i="7"/>
  <c r="K25" i="7"/>
  <c r="L27" i="7"/>
  <c r="K29" i="7"/>
  <c r="L31" i="7"/>
  <c r="M41" i="6"/>
  <c r="N15" i="6"/>
  <c r="M40" i="6"/>
  <c r="I17" i="8"/>
  <c r="N11" i="6"/>
  <c r="R15" i="6"/>
  <c r="N41" i="6"/>
  <c r="S11" i="6"/>
  <c r="M11" i="6" s="1"/>
  <c r="S15" i="6"/>
  <c r="R18" i="6"/>
  <c r="R19" i="6"/>
  <c r="R26" i="6"/>
  <c r="R27" i="6"/>
  <c r="R34" i="6"/>
  <c r="R35" i="6"/>
  <c r="O41" i="6"/>
  <c r="S12" i="6"/>
  <c r="M12" i="6" s="1"/>
  <c r="S16" i="6"/>
  <c r="M16" i="6" s="1"/>
  <c r="O42" i="6"/>
  <c r="O40" i="6"/>
  <c r="T20" i="6"/>
  <c r="S20" i="6"/>
  <c r="M20" i="6" s="1"/>
  <c r="T24" i="6"/>
  <c r="S24" i="6"/>
  <c r="M24" i="6" s="1"/>
  <c r="T28" i="6"/>
  <c r="S28" i="6"/>
  <c r="M28" i="6" s="1"/>
  <c r="T32" i="6"/>
  <c r="S32" i="6"/>
  <c r="M32" i="6" s="1"/>
  <c r="T36" i="6"/>
  <c r="S36" i="6"/>
  <c r="M36" i="6" s="1"/>
  <c r="N10" i="6"/>
  <c r="O11" i="6"/>
  <c r="N14" i="6"/>
  <c r="T17" i="6"/>
  <c r="S17" i="6"/>
  <c r="M17" i="6" s="1"/>
  <c r="T21" i="6"/>
  <c r="S21" i="6"/>
  <c r="M21" i="6" s="1"/>
  <c r="T25" i="6"/>
  <c r="S25" i="6"/>
  <c r="M25" i="6" s="1"/>
  <c r="T29" i="6"/>
  <c r="S29" i="6"/>
  <c r="M29" i="6" s="1"/>
  <c r="T33" i="6"/>
  <c r="S33" i="6"/>
  <c r="M33" i="6" s="1"/>
  <c r="T37" i="6"/>
  <c r="S37" i="6"/>
  <c r="M37" i="6" s="1"/>
  <c r="N9" i="6"/>
  <c r="S10" i="6"/>
  <c r="M10" i="6" s="1"/>
  <c r="N13" i="6"/>
  <c r="S14" i="6"/>
  <c r="M14" i="6" s="1"/>
  <c r="N17" i="6"/>
  <c r="T18" i="6"/>
  <c r="S18" i="6"/>
  <c r="N20" i="6"/>
  <c r="T22" i="6"/>
  <c r="S22" i="6"/>
  <c r="M22" i="6" s="1"/>
  <c r="N24" i="6"/>
  <c r="T26" i="6"/>
  <c r="S26" i="6"/>
  <c r="N28" i="6"/>
  <c r="T30" i="6"/>
  <c r="S30" i="6"/>
  <c r="M30" i="6" s="1"/>
  <c r="N32" i="6"/>
  <c r="T34" i="6"/>
  <c r="S34" i="6"/>
  <c r="M34" i="6" s="1"/>
  <c r="N36" i="6"/>
  <c r="T38" i="6"/>
  <c r="S38" i="6"/>
  <c r="M38" i="6" s="1"/>
  <c r="N40" i="6"/>
  <c r="N42" i="6"/>
  <c r="T43" i="6"/>
  <c r="S43" i="6"/>
  <c r="M43" i="6" s="1"/>
  <c r="S9" i="6"/>
  <c r="M9" i="6" s="1"/>
  <c r="N12" i="6"/>
  <c r="S13" i="6"/>
  <c r="M13" i="6" s="1"/>
  <c r="N16" i="6"/>
  <c r="T19" i="6"/>
  <c r="S19" i="6"/>
  <c r="N21" i="6"/>
  <c r="T23" i="6"/>
  <c r="S23" i="6"/>
  <c r="M23" i="6" s="1"/>
  <c r="N25" i="6"/>
  <c r="T27" i="6"/>
  <c r="S27" i="6"/>
  <c r="N29" i="6"/>
  <c r="T31" i="6"/>
  <c r="S31" i="6"/>
  <c r="M31" i="6" s="1"/>
  <c r="N33" i="6"/>
  <c r="T35" i="6"/>
  <c r="S35" i="6"/>
  <c r="N37" i="6"/>
  <c r="T39" i="6"/>
  <c r="S39" i="6"/>
  <c r="M39" i="6" s="1"/>
  <c r="M18" i="6" l="1"/>
  <c r="M27" i="6"/>
  <c r="O33" i="6"/>
  <c r="O15" i="6"/>
  <c r="R22" i="7"/>
  <c r="S22" i="7" s="1"/>
  <c r="R14" i="7"/>
  <c r="S14" i="7" s="1"/>
  <c r="R26" i="7"/>
  <c r="S26" i="7" s="1"/>
  <c r="R30" i="7"/>
  <c r="S30" i="7" s="1"/>
  <c r="R18" i="7"/>
  <c r="S18" i="7" s="1"/>
  <c r="O43" i="6"/>
  <c r="O38" i="6"/>
  <c r="O34" i="6"/>
  <c r="O30" i="6"/>
  <c r="O37" i="6"/>
  <c r="O28" i="6"/>
  <c r="O26" i="6"/>
  <c r="M15" i="6"/>
  <c r="O24" i="6"/>
  <c r="O18" i="6"/>
  <c r="M26" i="6"/>
  <c r="O32" i="6"/>
  <c r="O22" i="6"/>
  <c r="O12" i="6"/>
  <c r="M35" i="6"/>
  <c r="M19" i="6"/>
  <c r="O16" i="6"/>
  <c r="O36" i="6"/>
  <c r="O20" i="6"/>
  <c r="O25" i="6"/>
  <c r="O21" i="6"/>
  <c r="O9" i="6"/>
  <c r="O27" i="6"/>
  <c r="O13" i="6"/>
  <c r="O29" i="6"/>
  <c r="O31" i="6"/>
  <c r="O35" i="6"/>
  <c r="O19" i="6"/>
  <c r="O14" i="6"/>
  <c r="O39" i="6"/>
  <c r="O23" i="6"/>
  <c r="O17" i="6"/>
  <c r="O10" i="6"/>
</calcChain>
</file>

<file path=xl/sharedStrings.xml><?xml version="1.0" encoding="utf-8"?>
<sst xmlns="http://schemas.openxmlformats.org/spreadsheetml/2006/main" count="264" uniqueCount="122">
  <si>
    <t>Notes</t>
  </si>
  <si>
    <t>IMPORTANT</t>
  </si>
  <si>
    <t xml:space="preserve">Drug concentrations vary by formulary.  Your pharmacy may carry different concentrations than those on the sheet! </t>
  </si>
  <si>
    <t>Updating the Drug Tables</t>
  </si>
  <si>
    <t>1) Unprotect the sheet</t>
  </si>
  <si>
    <t>2) Insert or delete table rows as needed.  It does NOT autosort by drug name (by design).</t>
  </si>
  <si>
    <t>3) Protect the sheet (to prevent accidental changes to formulas).</t>
  </si>
  <si>
    <t>Running on Military Systems</t>
  </si>
  <si>
    <t>Many military systems will not allow *.xlsm (macro-enabled Excel files) to run from a network drive, but will often work when run from your documents folder.</t>
  </si>
  <si>
    <t>Macros are only used for the reset buttons; the calculators are fully functional even if macros are disabled.</t>
  </si>
  <si>
    <t xml:space="preserve">Let me know if you find any errors or have any suggestions.  </t>
  </si>
  <si>
    <t>If you want to see the math, unhide the hidden columns.</t>
  </si>
  <si>
    <t>David Alt, MD</t>
  </si>
  <si>
    <t>david.a.alt2.mil@mail.mil</t>
  </si>
  <si>
    <t>david.alt.mil@gmail.com</t>
  </si>
  <si>
    <t>days</t>
  </si>
  <si>
    <t>WEIGHT-BASED DOSING CALCULATOR</t>
  </si>
  <si>
    <t xml:space="preserve">This tool is designed to help providers with pediatric dose calculations; it should not replace clinical judgment. </t>
  </si>
  <si>
    <t>Drug concentrations may vary by your local formulary; please verify with your pharmacist.</t>
  </si>
  <si>
    <t>WEIGHT (kg):</t>
  </si>
  <si>
    <t>Drug</t>
  </si>
  <si>
    <t>[mg/</t>
  </si>
  <si>
    <t>/mL]</t>
  </si>
  <si>
    <t>Low</t>
  </si>
  <si>
    <t>High</t>
  </si>
  <si>
    <t>Dosing</t>
  </si>
  <si>
    <t>Freq</t>
  </si>
  <si>
    <t>Dur</t>
  </si>
  <si>
    <t>Max /
Dose</t>
  </si>
  <si>
    <t>Max / 
Day</t>
  </si>
  <si>
    <t>Dose
(mL)</t>
  </si>
  <si>
    <t>Dose
(mg)</t>
  </si>
  <si>
    <t>Dispense
(mL)</t>
  </si>
  <si>
    <t>Low
(mg)</t>
  </si>
  <si>
    <t>High
(mg)</t>
  </si>
  <si>
    <t>Low
(mL)</t>
  </si>
  <si>
    <t>High
(mL)</t>
  </si>
  <si>
    <t>TDD
(high)</t>
  </si>
  <si>
    <t>acetaminophen</t>
  </si>
  <si>
    <t>mg/kg/dose</t>
  </si>
  <si>
    <t>acyclovir</t>
  </si>
  <si>
    <t>amoxicillin</t>
  </si>
  <si>
    <t>mg/kg/day</t>
  </si>
  <si>
    <t>acute otitis media</t>
  </si>
  <si>
    <t>GAS pharyngitis</t>
  </si>
  <si>
    <t>Augmentin</t>
  </si>
  <si>
    <t>preseptal cellulitis</t>
  </si>
  <si>
    <t>azithromycin</t>
  </si>
  <si>
    <t>day 1</t>
  </si>
  <si>
    <t>days 2-5</t>
  </si>
  <si>
    <t>cefdinir</t>
  </si>
  <si>
    <t>once daily ok; not studied in skin infxn</t>
  </si>
  <si>
    <t>cephalexin</t>
  </si>
  <si>
    <t>SSTI; 7d for impetigo</t>
  </si>
  <si>
    <t>GAS dosing</t>
  </si>
  <si>
    <t>ciprofloxacin</t>
  </si>
  <si>
    <t>bad Pseudomonas</t>
  </si>
  <si>
    <t>clindamycin</t>
  </si>
  <si>
    <t>SSTI; 7d for impetigo. Some Staph/Strep may be resistant</t>
  </si>
  <si>
    <t>dexamethasone</t>
  </si>
  <si>
    <t>diphenhydramine</t>
  </si>
  <si>
    <t>docusate</t>
  </si>
  <si>
    <t>enalapril</t>
  </si>
  <si>
    <t>ferrous sulfate</t>
  </si>
  <si>
    <t>furosemide</t>
  </si>
  <si>
    <t>griseofulvin</t>
  </si>
  <si>
    <t>hydroxyzine</t>
  </si>
  <si>
    <t>ibuprofen</t>
  </si>
  <si>
    <t>isoniazid</t>
  </si>
  <si>
    <t>latent TB monotherapy</t>
  </si>
  <si>
    <t>lansoprazole</t>
  </si>
  <si>
    <t>ondansetron (PO)</t>
  </si>
  <si>
    <t>ondansetron (IV)</t>
  </si>
  <si>
    <t>prednisolone</t>
  </si>
  <si>
    <t>max daily dose 60 mg (for asthma)</t>
  </si>
  <si>
    <t>ranitidine</t>
  </si>
  <si>
    <t>terbinafine</t>
  </si>
  <si>
    <t>mg/dose</t>
  </si>
  <si>
    <t>10-20 kg; fingers x6wk, toes x12wk</t>
  </si>
  <si>
    <t>20-40 kg; fingers x6wk, toes x12wk</t>
  </si>
  <si>
    <t>&gt;40 kg; fingers x6wk, toes x12wk</t>
  </si>
  <si>
    <t>TMP/SMX</t>
  </si>
  <si>
    <t>based on trimethoprim dose</t>
  </si>
  <si>
    <t>Notes:</t>
  </si>
  <si>
    <t>Dose Check</t>
  </si>
  <si>
    <t>1. To use a single dosing, use the same value for low and high target dosing.</t>
  </si>
  <si>
    <t>2. Tolerance is based on the average of the target dosing range.</t>
  </si>
  <si>
    <t>3. Limits describe how far a dose may deviate from the target range.</t>
  </si>
  <si>
    <t>Dose (mL):</t>
  </si>
  <si>
    <t xml:space="preserve">Freq (x/day): </t>
  </si>
  <si>
    <t xml:space="preserve">Limits: </t>
  </si>
  <si>
    <t>Target 
(low)</t>
  </si>
  <si>
    <t xml:space="preserve">Target 
(high) </t>
  </si>
  <si>
    <t>Prescribed 
mg/kg/dose</t>
  </si>
  <si>
    <t>Prescribed 
mg/kg/day</t>
  </si>
  <si>
    <t>Limit1</t>
  </si>
  <si>
    <t>Limit2</t>
  </si>
  <si>
    <t>Limit1 
(low)</t>
  </si>
  <si>
    <t>Limit1
(high)</t>
  </si>
  <si>
    <t>Limit2 
(low)</t>
  </si>
  <si>
    <t>Limit2 
(high)</t>
  </si>
  <si>
    <t>In Range</t>
  </si>
  <si>
    <t>&lt; Limit1</t>
  </si>
  <si>
    <t>&lt; Limit2</t>
  </si>
  <si>
    <t>&gt; Limit2</t>
  </si>
  <si>
    <t>azithromycin (day 1)</t>
  </si>
  <si>
    <t>azithromycin (days 2-5)</t>
  </si>
  <si>
    <t>ondansetron</t>
  </si>
  <si>
    <t>Dose</t>
  </si>
  <si>
    <t xml:space="preserve">   Concentration</t>
  </si>
  <si>
    <t>Frequency</t>
  </si>
  <si>
    <t>Duration</t>
  </si>
  <si>
    <t>Dispense</t>
  </si>
  <si>
    <t>mg</t>
  </si>
  <si>
    <t>mL</t>
  </si>
  <si>
    <t>x/day</t>
  </si>
  <si>
    <t>Target</t>
  </si>
  <si>
    <t>Actual</t>
  </si>
  <si>
    <t>Difference</t>
  </si>
  <si>
    <t>doses/day</t>
  </si>
  <si>
    <t>This is the latest version as of 8/1/17</t>
  </si>
  <si>
    <t xml:space="preserve">    David Alt, MD (david.a.alt2.mil@mail.mil)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</si>
</sst>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font>
    <font>
      <sz val="14"/>
      <color theme="1"/>
      <name val="Calibri"/>
      <family val="2"/>
      <scheme val="minor"/>
    </font>
    <font>
      <i/>
      <sz val="11"/>
      <color theme="0"/>
      <name val="Calibri"/>
      <family val="2"/>
      <scheme val="minor"/>
    </font>
  </fonts>
  <fills count="11">
    <fill>
      <patternFill patternType="none"/>
    </fill>
    <fill>
      <patternFill patternType="gray125"/>
    </fill>
    <fill>
      <patternFill patternType="solid">
        <fgColor theme="4" tint="0.79998168889431442"/>
        <bgColor indexed="65"/>
      </patternFill>
    </fill>
    <fill>
      <patternFill patternType="solid">
        <fgColor theme="9" tint="0.59999389629810485"/>
        <bgColor indexed="65"/>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6337778862885"/>
        <bgColor indexed="64"/>
      </patternFill>
    </fill>
    <fill>
      <patternFill patternType="solid">
        <fgColor theme="8"/>
        <bgColor theme="8"/>
      </patternFill>
    </fill>
    <fill>
      <patternFill patternType="solid">
        <fgColor theme="9" tint="0.59996337778862885"/>
        <bgColor indexed="64"/>
      </patternFill>
    </fill>
  </fills>
  <borders count="15">
    <border>
      <left/>
      <right/>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right/>
      <top style="thin">
        <color theme="8"/>
      </top>
      <bottom/>
      <diagonal/>
    </border>
    <border>
      <left style="thin">
        <color auto="1"/>
      </left>
      <right style="thin">
        <color auto="1"/>
      </right>
      <top style="medium">
        <color auto="1"/>
      </top>
      <bottom style="thin">
        <color auto="1"/>
      </bottom>
      <diagonal/>
    </border>
  </borders>
  <cellStyleXfs count="3">
    <xf numFmtId="0" fontId="0" fillId="0" borderId="0"/>
    <xf numFmtId="0" fontId="1" fillId="2" borderId="0" applyNumberFormat="0" applyBorder="0" applyAlignment="0" applyProtection="0"/>
    <xf numFmtId="0" fontId="1" fillId="3" borderId="0" applyNumberFormat="0" applyBorder="0" applyAlignment="0" applyProtection="0"/>
  </cellStyleXfs>
  <cellXfs count="101">
    <xf numFmtId="0" fontId="0" fillId="0" borderId="0" xfId="0"/>
    <xf numFmtId="0" fontId="0" fillId="0" borderId="0" xfId="0" applyAlignment="1">
      <alignment horizontal="center"/>
    </xf>
    <xf numFmtId="0" fontId="3" fillId="0" borderId="0" xfId="0" applyFont="1" applyAlignment="1">
      <alignment vertical="center"/>
    </xf>
    <xf numFmtId="0" fontId="2" fillId="0" borderId="0" xfId="0" applyFont="1"/>
    <xf numFmtId="0" fontId="0" fillId="0" borderId="0" xfId="0" applyAlignment="1">
      <alignment vertical="center"/>
    </xf>
    <xf numFmtId="0" fontId="2" fillId="0" borderId="0" xfId="0" applyFont="1" applyAlignment="1">
      <alignment vertical="center"/>
    </xf>
    <xf numFmtId="14" fontId="2" fillId="0" borderId="0" xfId="0" applyNumberFormat="1" applyFont="1"/>
    <xf numFmtId="0" fontId="0" fillId="0" borderId="3" xfId="0" applyBorder="1" applyAlignment="1" applyProtection="1">
      <alignment horizontal="center"/>
      <protection locked="0"/>
    </xf>
    <xf numFmtId="0" fontId="0" fillId="5" borderId="0" xfId="0" applyFill="1"/>
    <xf numFmtId="0" fontId="0" fillId="7" borderId="3" xfId="0" applyFill="1" applyBorder="1" applyAlignment="1" applyProtection="1">
      <alignment horizontal="center"/>
      <protection locked="0"/>
    </xf>
    <xf numFmtId="0" fontId="0" fillId="0" borderId="0" xfId="0" applyProtection="1"/>
    <xf numFmtId="0" fontId="0" fillId="0" borderId="0" xfId="0" applyProtection="1">
      <protection locked="0"/>
    </xf>
    <xf numFmtId="0" fontId="0" fillId="4" borderId="0" xfId="0" applyFont="1" applyFill="1" applyAlignment="1">
      <alignment horizontal="center"/>
    </xf>
    <xf numFmtId="0" fontId="5" fillId="4" borderId="0" xfId="0" applyFont="1" applyFill="1" applyAlignment="1">
      <alignment horizontal="center"/>
    </xf>
    <xf numFmtId="0" fontId="0" fillId="4" borderId="0" xfId="0" applyFill="1" applyAlignment="1">
      <alignment horizontal="left"/>
    </xf>
    <xf numFmtId="0" fontId="0" fillId="4" borderId="0" xfId="0" applyFill="1" applyAlignment="1">
      <alignment horizontal="center"/>
    </xf>
    <xf numFmtId="2" fontId="0" fillId="4" borderId="0" xfId="0" applyNumberFormat="1" applyFill="1" applyAlignment="1">
      <alignment horizontal="center"/>
    </xf>
    <xf numFmtId="0" fontId="2" fillId="4" borderId="0" xfId="0" applyFont="1" applyFill="1" applyAlignment="1">
      <alignment horizontal="center"/>
    </xf>
    <xf numFmtId="0" fontId="0" fillId="4" borderId="0" xfId="0" applyFill="1"/>
    <xf numFmtId="0" fontId="0" fillId="5" borderId="0" xfId="0" applyFill="1" applyAlignment="1">
      <alignment horizontal="center"/>
    </xf>
    <xf numFmtId="0" fontId="3" fillId="4" borderId="0" xfId="0" applyFont="1" applyFill="1" applyAlignment="1">
      <alignment horizontal="left"/>
    </xf>
    <xf numFmtId="0" fontId="2" fillId="4" borderId="0" xfId="0" applyFont="1" applyFill="1" applyAlignment="1">
      <alignment horizontal="right"/>
    </xf>
    <xf numFmtId="0" fontId="0" fillId="0" borderId="12" xfId="0" applyBorder="1" applyAlignment="1" applyProtection="1">
      <alignment horizontal="center"/>
      <protection locked="0"/>
    </xf>
    <xf numFmtId="2" fontId="3" fillId="4" borderId="0" xfId="0" applyNumberFormat="1" applyFont="1" applyFill="1" applyAlignment="1">
      <alignment horizontal="left"/>
    </xf>
    <xf numFmtId="0" fontId="2" fillId="8" borderId="1" xfId="0" applyFont="1" applyFill="1" applyBorder="1" applyAlignment="1">
      <alignment horizontal="center"/>
    </xf>
    <xf numFmtId="0" fontId="2" fillId="0" borderId="0" xfId="0" applyFont="1" applyAlignment="1">
      <alignment horizontal="center" vertical="top"/>
    </xf>
    <xf numFmtId="0" fontId="0" fillId="0" borderId="0" xfId="0" applyFont="1" applyAlignment="1">
      <alignment horizontal="center" vertical="top" wrapText="1"/>
    </xf>
    <xf numFmtId="0" fontId="3" fillId="0" borderId="0" xfId="0" applyFont="1" applyAlignment="1">
      <alignment horizontal="center" vertical="top" wrapText="1"/>
    </xf>
    <xf numFmtId="0" fontId="2" fillId="0" borderId="0" xfId="0" applyFont="1" applyAlignment="1">
      <alignment horizontal="center" vertical="top" wrapText="1"/>
    </xf>
    <xf numFmtId="0" fontId="6" fillId="9" borderId="13" xfId="0" applyFont="1" applyFill="1" applyBorder="1" applyAlignment="1">
      <alignment horizontal="center" vertical="top" wrapText="1"/>
    </xf>
    <xf numFmtId="0" fontId="0" fillId="0" borderId="0" xfId="0" applyAlignment="1" applyProtection="1">
      <alignment horizontal="center"/>
      <protection locked="0"/>
    </xf>
    <xf numFmtId="0" fontId="3" fillId="0" borderId="0" xfId="0" applyFont="1" applyAlignment="1" applyProtection="1">
      <alignment horizontal="left"/>
      <protection locked="0"/>
    </xf>
    <xf numFmtId="0" fontId="0" fillId="0" borderId="0" xfId="0" applyNumberFormat="1" applyAlignment="1">
      <alignment horizontal="right"/>
    </xf>
    <xf numFmtId="0" fontId="3" fillId="0" borderId="0" xfId="0" applyNumberFormat="1" applyFont="1" applyAlignment="1">
      <alignment horizontal="center"/>
    </xf>
    <xf numFmtId="0" fontId="2" fillId="5" borderId="0" xfId="1" applyFont="1" applyFill="1" applyBorder="1" applyAlignment="1">
      <alignment horizontal="center"/>
    </xf>
    <xf numFmtId="0" fontId="2" fillId="5" borderId="0" xfId="0" applyFont="1" applyFill="1"/>
    <xf numFmtId="0" fontId="0" fillId="5" borderId="0" xfId="0" applyFill="1" applyBorder="1" applyAlignment="1" applyProtection="1">
      <alignment horizontal="center"/>
      <protection locked="0"/>
    </xf>
    <xf numFmtId="0" fontId="0" fillId="5" borderId="0" xfId="0" applyFill="1" applyBorder="1" applyAlignment="1" applyProtection="1">
      <alignment horizontal="left"/>
      <protection locked="0"/>
    </xf>
    <xf numFmtId="0" fontId="3" fillId="5" borderId="0" xfId="1" applyFont="1" applyFill="1" applyBorder="1" applyAlignment="1">
      <alignment horizontal="center"/>
    </xf>
    <xf numFmtId="2" fontId="3" fillId="5" borderId="0" xfId="1" applyNumberFormat="1" applyFont="1" applyFill="1" applyBorder="1" applyAlignment="1">
      <alignment horizontal="center"/>
    </xf>
    <xf numFmtId="0" fontId="3" fillId="5" borderId="0" xfId="0" applyFont="1" applyFill="1" applyBorder="1" applyAlignment="1" applyProtection="1">
      <alignment horizontal="center"/>
      <protection locked="0"/>
    </xf>
    <xf numFmtId="0" fontId="0" fillId="5" borderId="0" xfId="0" applyFill="1" applyAlignment="1">
      <alignment horizontal="left"/>
    </xf>
    <xf numFmtId="2" fontId="0" fillId="5" borderId="0" xfId="0" applyNumberFormat="1" applyFill="1" applyBorder="1" applyAlignment="1">
      <alignment horizontal="center"/>
    </xf>
    <xf numFmtId="2" fontId="0" fillId="5" borderId="0" xfId="0" applyNumberFormat="1" applyFill="1" applyBorder="1" applyAlignment="1" applyProtection="1">
      <alignment horizontal="center"/>
    </xf>
    <xf numFmtId="10" fontId="0" fillId="5" borderId="0" xfId="0" applyNumberFormat="1" applyFill="1" applyBorder="1" applyAlignment="1">
      <alignment horizontal="center"/>
    </xf>
    <xf numFmtId="2" fontId="0" fillId="5" borderId="0" xfId="0" applyNumberFormat="1" applyFill="1" applyAlignment="1">
      <alignment horizontal="center"/>
    </xf>
    <xf numFmtId="0" fontId="0" fillId="4" borderId="0" xfId="0" applyFont="1" applyFill="1" applyAlignment="1">
      <alignment horizontal="right"/>
    </xf>
    <xf numFmtId="0" fontId="0" fillId="7" borderId="14" xfId="0" applyNumberFormat="1" applyFont="1" applyFill="1" applyBorder="1" applyAlignment="1" applyProtection="1">
      <alignment horizontal="center"/>
      <protection locked="0"/>
    </xf>
    <xf numFmtId="0" fontId="0" fillId="7" borderId="3" xfId="0" applyNumberFormat="1" applyFont="1" applyFill="1" applyBorder="1" applyAlignment="1" applyProtection="1">
      <alignment horizontal="center"/>
      <protection locked="0"/>
    </xf>
    <xf numFmtId="0" fontId="3" fillId="4" borderId="0" xfId="0" applyFont="1" applyFill="1" applyAlignment="1">
      <alignment horizontal="right"/>
    </xf>
    <xf numFmtId="10" fontId="3" fillId="7" borderId="3" xfId="0" applyNumberFormat="1" applyFont="1" applyFill="1" applyBorder="1" applyAlignment="1" applyProtection="1">
      <alignment horizontal="center"/>
      <protection locked="0"/>
    </xf>
    <xf numFmtId="10" fontId="3" fillId="7" borderId="3" xfId="0" applyNumberFormat="1" applyFont="1" applyFill="1" applyBorder="1" applyProtection="1">
      <protection locked="0"/>
    </xf>
    <xf numFmtId="0" fontId="3" fillId="4" borderId="0" xfId="0" applyFont="1" applyFill="1" applyAlignment="1">
      <alignment horizontal="center"/>
    </xf>
    <xf numFmtId="2" fontId="0" fillId="4" borderId="0" xfId="0" applyNumberFormat="1" applyFill="1" applyAlignment="1">
      <alignment horizontal="left"/>
    </xf>
    <xf numFmtId="0" fontId="0" fillId="0" borderId="0" xfId="0" applyFont="1" applyFill="1" applyBorder="1" applyAlignment="1">
      <alignment horizontal="center" vertical="top"/>
    </xf>
    <xf numFmtId="0" fontId="0" fillId="0" borderId="0" xfId="0" applyFont="1" applyFill="1" applyBorder="1" applyAlignment="1">
      <alignment horizontal="center" vertical="top" wrapText="1"/>
    </xf>
    <xf numFmtId="2" fontId="0" fillId="0" borderId="4" xfId="0" applyNumberFormat="1" applyFont="1" applyFill="1" applyBorder="1" applyAlignment="1">
      <alignment horizontal="center" vertical="top" wrapText="1"/>
    </xf>
    <xf numFmtId="2" fontId="0" fillId="0" borderId="5" xfId="0" applyNumberFormat="1" applyFont="1" applyFill="1" applyBorder="1" applyAlignment="1">
      <alignment horizontal="center" vertical="top" wrapText="1"/>
    </xf>
    <xf numFmtId="2" fontId="0" fillId="0" borderId="0" xfId="0" applyNumberFormat="1" applyFont="1" applyFill="1" applyBorder="1" applyAlignment="1">
      <alignment horizontal="center" vertical="top" wrapText="1"/>
    </xf>
    <xf numFmtId="0" fontId="0" fillId="0" borderId="0" xfId="0" applyFont="1" applyFill="1" applyBorder="1" applyAlignment="1" applyProtection="1">
      <alignment horizontal="left"/>
      <protection locked="0"/>
    </xf>
    <xf numFmtId="0" fontId="0" fillId="0" borderId="0" xfId="0" applyFont="1" applyFill="1" applyBorder="1" applyAlignment="1" applyProtection="1">
      <alignment horizontal="center"/>
      <protection locked="0"/>
    </xf>
    <xf numFmtId="0" fontId="3" fillId="0" borderId="0" xfId="0" applyNumberFormat="1" applyFont="1" applyFill="1" applyBorder="1" applyAlignment="1" applyProtection="1">
      <alignment horizontal="center" vertical="center"/>
      <protection locked="0"/>
    </xf>
    <xf numFmtId="2" fontId="0" fillId="0" borderId="4"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2" fontId="0" fillId="0" borderId="0" xfId="0" applyNumberFormat="1" applyFont="1" applyFill="1" applyBorder="1" applyAlignment="1">
      <alignment horizontal="center" vertical="center"/>
    </xf>
    <xf numFmtId="0" fontId="1" fillId="0" borderId="0" xfId="0" applyFont="1" applyFill="1" applyBorder="1" applyAlignment="1" applyProtection="1">
      <alignment horizontal="left"/>
      <protection locked="0"/>
    </xf>
    <xf numFmtId="0" fontId="1" fillId="0" borderId="0" xfId="0" applyFont="1" applyFill="1" applyBorder="1" applyAlignment="1" applyProtection="1">
      <alignment horizontal="center"/>
      <protection locked="0"/>
    </xf>
    <xf numFmtId="2" fontId="1" fillId="0" borderId="4" xfId="0" applyNumberFormat="1" applyFont="1" applyFill="1" applyBorder="1" applyAlignment="1">
      <alignment horizontal="center" vertical="center"/>
    </xf>
    <xf numFmtId="2" fontId="1" fillId="0" borderId="5" xfId="0" applyNumberFormat="1" applyFont="1" applyFill="1" applyBorder="1" applyAlignment="1">
      <alignment horizontal="center" vertical="center"/>
    </xf>
    <xf numFmtId="2" fontId="1" fillId="0" borderId="0" xfId="0" applyNumberFormat="1" applyFont="1" applyFill="1" applyBorder="1" applyAlignment="1">
      <alignment horizontal="center" vertical="center"/>
    </xf>
    <xf numFmtId="0" fontId="0" fillId="0" borderId="9" xfId="0" applyFont="1" applyFill="1" applyBorder="1" applyAlignment="1" applyProtection="1">
      <alignment horizontal="left" vertical="center"/>
      <protection locked="0"/>
    </xf>
    <xf numFmtId="0" fontId="0" fillId="0"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 fillId="0" borderId="9" xfId="0" applyNumberFormat="1" applyFont="1" applyFill="1" applyBorder="1" applyAlignment="1" applyProtection="1">
      <alignment horizontal="center"/>
      <protection locked="0"/>
    </xf>
    <xf numFmtId="2" fontId="0" fillId="0" borderId="6" xfId="0" applyNumberFormat="1" applyFont="1" applyFill="1" applyBorder="1" applyAlignment="1">
      <alignment horizontal="center" vertical="center"/>
    </xf>
    <xf numFmtId="2" fontId="0" fillId="0" borderId="7" xfId="0" applyNumberFormat="1" applyFont="1" applyFill="1" applyBorder="1" applyAlignment="1">
      <alignment horizontal="center" vertical="center"/>
    </xf>
    <xf numFmtId="0" fontId="0" fillId="5" borderId="0" xfId="0" applyFill="1" applyProtection="1"/>
    <xf numFmtId="0" fontId="2" fillId="4" borderId="0" xfId="0" applyFont="1" applyFill="1" applyAlignment="1" applyProtection="1">
      <alignment horizontal="right"/>
    </xf>
    <xf numFmtId="0" fontId="2" fillId="3" borderId="11" xfId="2" applyFont="1" applyBorder="1" applyAlignment="1" applyProtection="1">
      <alignment horizontal="center"/>
    </xf>
    <xf numFmtId="0" fontId="2" fillId="3" borderId="8" xfId="2" applyFont="1" applyBorder="1" applyAlignment="1" applyProtection="1">
      <alignment horizontal="left"/>
    </xf>
    <xf numFmtId="0" fontId="2" fillId="3" borderId="2" xfId="2" applyFont="1" applyBorder="1" applyProtection="1"/>
    <xf numFmtId="0" fontId="2" fillId="3" borderId="2" xfId="2" applyFont="1" applyBorder="1" applyAlignment="1" applyProtection="1">
      <alignment horizontal="center"/>
    </xf>
    <xf numFmtId="0" fontId="3" fillId="3" borderId="10" xfId="2" applyFont="1" applyBorder="1" applyAlignment="1" applyProtection="1">
      <alignment horizontal="center"/>
    </xf>
    <xf numFmtId="0" fontId="3" fillId="3" borderId="9" xfId="2" applyFont="1" applyBorder="1" applyAlignment="1" applyProtection="1">
      <alignment horizontal="center"/>
    </xf>
    <xf numFmtId="0" fontId="3" fillId="3" borderId="7" xfId="2" applyFont="1" applyBorder="1" applyAlignment="1" applyProtection="1">
      <alignment horizontal="center"/>
    </xf>
    <xf numFmtId="0" fontId="0" fillId="5" borderId="0" xfId="0" applyFill="1" applyAlignment="1" applyProtection="1">
      <alignment horizontal="center"/>
    </xf>
    <xf numFmtId="0" fontId="2" fillId="6" borderId="3" xfId="0" applyFont="1" applyFill="1" applyBorder="1" applyAlignment="1" applyProtection="1">
      <alignment horizontal="center"/>
    </xf>
    <xf numFmtId="0" fontId="3" fillId="5" borderId="0" xfId="0" applyFont="1" applyFill="1" applyBorder="1" applyAlignment="1" applyProtection="1">
      <alignment horizontal="center"/>
    </xf>
    <xf numFmtId="0" fontId="0" fillId="5" borderId="0" xfId="0" applyFill="1" applyBorder="1" applyAlignment="1" applyProtection="1">
      <alignment horizontal="center"/>
    </xf>
    <xf numFmtId="0" fontId="0" fillId="5" borderId="0" xfId="0" applyFill="1" applyBorder="1" applyProtection="1"/>
    <xf numFmtId="0" fontId="2" fillId="10" borderId="11" xfId="1" applyFont="1" applyFill="1" applyBorder="1" applyAlignment="1" applyProtection="1">
      <alignment horizontal="center"/>
    </xf>
    <xf numFmtId="0" fontId="2" fillId="10" borderId="1" xfId="1" applyFont="1" applyFill="1" applyBorder="1" applyAlignment="1" applyProtection="1">
      <alignment horizontal="left"/>
    </xf>
    <xf numFmtId="0" fontId="1" fillId="3" borderId="11" xfId="2" applyBorder="1" applyProtection="1"/>
    <xf numFmtId="0" fontId="2" fillId="10" borderId="2" xfId="1" applyFont="1" applyFill="1" applyBorder="1" applyAlignment="1" applyProtection="1">
      <alignment horizontal="center"/>
    </xf>
    <xf numFmtId="0" fontId="3" fillId="10" borderId="10" xfId="1" applyFont="1" applyFill="1" applyBorder="1" applyAlignment="1" applyProtection="1">
      <alignment horizontal="center"/>
    </xf>
    <xf numFmtId="0" fontId="3" fillId="10" borderId="6" xfId="1" applyFont="1" applyFill="1" applyBorder="1" applyAlignment="1" applyProtection="1">
      <alignment horizontal="center"/>
    </xf>
    <xf numFmtId="2" fontId="3" fillId="10" borderId="7" xfId="1" applyNumberFormat="1" applyFont="1" applyFill="1" applyBorder="1" applyAlignment="1" applyProtection="1">
      <alignment horizontal="center"/>
    </xf>
    <xf numFmtId="0" fontId="0" fillId="0" borderId="3" xfId="0" applyFont="1" applyBorder="1" applyAlignment="1" applyProtection="1">
      <alignment horizontal="center"/>
      <protection locked="0"/>
    </xf>
    <xf numFmtId="2" fontId="2" fillId="6" borderId="3" xfId="0" applyNumberFormat="1" applyFont="1" applyFill="1" applyBorder="1" applyAlignment="1" applyProtection="1">
      <alignment horizontal="center"/>
    </xf>
    <xf numFmtId="10" fontId="0" fillId="6" borderId="3" xfId="0" applyNumberFormat="1" applyFill="1" applyBorder="1" applyAlignment="1" applyProtection="1">
      <alignment horizontal="center"/>
    </xf>
    <xf numFmtId="2" fontId="0" fillId="6" borderId="3" xfId="0" applyNumberFormat="1" applyFill="1" applyBorder="1" applyAlignment="1" applyProtection="1">
      <alignment horizontal="center"/>
    </xf>
  </cellXfs>
  <cellStyles count="3">
    <cellStyle name="20% - Accent1" xfId="1" builtinId="30"/>
    <cellStyle name="40% - Accent6" xfId="2" builtinId="51"/>
    <cellStyle name="Normal" xfId="0" builtinId="0"/>
  </cellStyles>
  <dxfs count="102">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center" vertical="center" textRotation="0" wrapText="0" indent="0" justifyLastLine="0" shrinkToFit="0" readingOrder="0"/>
    </dxf>
    <dxf>
      <font>
        <b val="0"/>
        <i/>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protection locked="0" hidden="0"/>
    </dxf>
    <dxf>
      <border outline="0">
        <top style="thin">
          <color auto="1"/>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top" textRotation="0" wrapText="0" indent="0" justifyLastLine="0" shrinkToFit="0" readingOrder="0"/>
    </dxf>
    <dxf>
      <fill>
        <patternFill>
          <bgColor rgb="FFFFFF99"/>
        </patternFill>
      </fill>
    </dxf>
    <dxf>
      <fill>
        <patternFill>
          <bgColor rgb="FFFFFF99"/>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92D050"/>
        </patternFill>
      </fill>
    </dxf>
    <dxf>
      <fill>
        <patternFill>
          <bgColor rgb="FFFFFF99"/>
        </patternFill>
      </fill>
    </dxf>
    <dxf>
      <fill>
        <patternFill>
          <bgColor rgb="FFFFC000"/>
        </patternFill>
      </fill>
    </dxf>
    <dxf>
      <font>
        <color theme="0"/>
      </font>
      <fill>
        <patternFill>
          <bgColor rgb="FFCC0000"/>
        </patternFill>
      </fill>
    </dxf>
    <dxf>
      <fill>
        <patternFill>
          <bgColor rgb="FFFFFF99"/>
        </patternFill>
      </fill>
    </dxf>
    <dxf>
      <protection locked="0" hidden="0"/>
    </dxf>
    <dxf>
      <font>
        <i/>
      </font>
      <numFmt numFmtId="0" formatCode="General"/>
      <alignment horizontal="center" vertical="bottom" textRotation="0" wrapText="0" indent="0" justifyLastLine="0" shrinkToFit="0" readingOrder="0"/>
    </dxf>
    <dxf>
      <font>
        <i/>
      </font>
      <numFmt numFmtId="0" formatCode="General"/>
      <alignment horizontal="center" vertical="bottom" textRotation="0" wrapText="0" indent="0" justifyLastLine="0" shrinkToFit="0" readingOrder="0"/>
    </dxf>
    <dxf>
      <font>
        <i/>
      </font>
      <numFmt numFmtId="0" formatCode="General"/>
      <alignment horizontal="center" vertical="bottom" textRotation="0" wrapText="0" indent="0" justifyLastLine="0" shrinkToFit="0" readingOrder="0"/>
    </dxf>
    <dxf>
      <font>
        <i/>
      </font>
      <numFmt numFmtId="0" formatCode="General"/>
      <alignment horizontal="center" vertical="bottom" textRotation="0" wrapText="0" indent="0" justifyLastLine="0" shrinkToFit="0" readingOrder="0"/>
    </dxf>
    <dxf>
      <font>
        <i/>
      </font>
      <numFmt numFmtId="0" formatCode="General"/>
      <alignment horizontal="center"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i/>
      </font>
      <alignment horizontal="lef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protection locked="0" hidden="0"/>
    </dxf>
    <dxf>
      <alignment horizontal="center" vertical="top" textRotation="0" indent="0" justifyLastLine="0" shrinkToFit="0" readingOrder="0"/>
    </dxf>
    <dxf>
      <fill>
        <patternFill>
          <bgColor rgb="FFFF0000"/>
        </patternFill>
      </fill>
    </dxf>
    <dxf>
      <fill>
        <patternFill>
          <bgColor rgb="FFFFFF9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1</xdr:col>
      <xdr:colOff>447675</xdr:colOff>
      <xdr:row>36</xdr:row>
      <xdr:rowOff>171450</xdr:rowOff>
    </xdr:to>
    <mc:AlternateContent xmlns:mc="http://schemas.openxmlformats.org/markup-compatibility/2006" xmlns:sle15="http://schemas.microsoft.com/office/drawing/2012/slicer">
      <mc:Choice Requires="sle15">
        <xdr:graphicFrame macro="">
          <xdr:nvGraphicFramePr>
            <xdr:cNvPr id="2" name="Drug2">
              <a:extLst>
                <a:ext uri="{FF2B5EF4-FFF2-40B4-BE49-F238E27FC236}">
                  <a16:creationId xmlns:a16="http://schemas.microsoft.com/office/drawing/2014/main" id="{00000000-0008-0000-00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rug2"/>
            </a:graphicData>
          </a:graphic>
        </xdr:graphicFrame>
      </mc:Choice>
      <mc:Fallback xmlns="">
        <xdr:sp macro="" textlink="">
          <xdr:nvSpPr>
            <xdr:cNvPr id="0" name=""/>
            <xdr:cNvSpPr>
              <a:spLocks noTextEdit="1"/>
            </xdr:cNvSpPr>
          </xdr:nvSpPr>
          <xdr:spPr>
            <a:xfrm>
              <a:off x="0" y="1400175"/>
              <a:ext cx="1714500" cy="58864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absolute">
        <xdr:from>
          <xdr:col>2</xdr:col>
          <xdr:colOff>228600</xdr:colOff>
          <xdr:row>2</xdr:row>
          <xdr:rowOff>144780</xdr:rowOff>
        </xdr:from>
        <xdr:to>
          <xdr:col>2</xdr:col>
          <xdr:colOff>1203960</xdr:colOff>
          <xdr:row>4</xdr:row>
          <xdr:rowOff>53340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7</xdr:row>
      <xdr:rowOff>0</xdr:rowOff>
    </xdr:from>
    <xdr:to>
      <xdr:col>1</xdr:col>
      <xdr:colOff>447675</xdr:colOff>
      <xdr:row>56</xdr:row>
      <xdr:rowOff>133350</xdr:rowOff>
    </xdr:to>
    <mc:AlternateContent xmlns:mc="http://schemas.openxmlformats.org/markup-compatibility/2006" xmlns:sle15="http://schemas.microsoft.com/office/drawing/2012/slicer">
      <mc:Choice Requires="sle15">
        <xdr:graphicFrame macro="">
          <xdr:nvGraphicFramePr>
            <xdr:cNvPr id="2" name="Drug">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Drug"/>
            </a:graphicData>
          </a:graphic>
        </xdr:graphicFrame>
      </mc:Choice>
      <mc:Fallback xmlns="">
        <xdr:sp macro="" textlink="">
          <xdr:nvSpPr>
            <xdr:cNvPr id="0" name=""/>
            <xdr:cNvSpPr>
              <a:spLocks noTextEdit="1"/>
            </xdr:cNvSpPr>
          </xdr:nvSpPr>
          <xdr:spPr>
            <a:xfrm>
              <a:off x="19050" y="1400175"/>
              <a:ext cx="1828800" cy="52863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2</xdr:col>
          <xdr:colOff>91440</xdr:colOff>
          <xdr:row>2</xdr:row>
          <xdr:rowOff>190500</xdr:rowOff>
        </xdr:from>
        <xdr:to>
          <xdr:col>2</xdr:col>
          <xdr:colOff>876300</xdr:colOff>
          <xdr:row>6</xdr:row>
          <xdr:rowOff>15240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441960</xdr:colOff>
          <xdr:row>0</xdr:row>
          <xdr:rowOff>175260</xdr:rowOff>
        </xdr:from>
        <xdr:to>
          <xdr:col>4</xdr:col>
          <xdr:colOff>480060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ug2" xr10:uid="{00000000-0013-0000-FFFF-FFFF01000000}" sourceName="Drug">
  <extLst>
    <x:ext xmlns:x15="http://schemas.microsoft.com/office/spreadsheetml/2010/11/main" uri="{2F2917AC-EB37-4324-AD4E-5DD8C200BD13}">
      <x15:tableSlicerCache tableId="4"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ug" xr10:uid="{00000000-0013-0000-FFFF-FFFF02000000}" sourceName="Drug">
  <extLst>
    <x:ext xmlns:x15="http://schemas.microsoft.com/office/spreadsheetml/2010/11/main" uri="{2F2917AC-EB37-4324-AD4E-5DD8C200BD13}">
      <x15:tableSlicerCache tableId="5"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rug2" xr10:uid="{00000000-0014-0000-FFFF-FFFF01000000}" cache="Slicer_Drug2" caption="Drug"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rug" xr10:uid="{00000000-0014-0000-FFFF-FFFF02000000}" cache="Slicer_Drug" caption="Drug"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blDosing" displayName="tblDosing" ref="C8:U43" totalsRowShown="0" headerRowDxfId="99">
  <autoFilter ref="C8:U4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2" hiddenButton="1"/>
    <filterColumn colId="13" hiddenButton="1"/>
    <filterColumn colId="15" hiddenButton="1"/>
    <filterColumn colId="16" hiddenButton="1"/>
    <filterColumn colId="17" hiddenButton="1"/>
    <filterColumn colId="18" hiddenButton="1"/>
  </autoFilter>
  <tableColumns count="19">
    <tableColumn id="1" xr3:uid="{00000000-0010-0000-0000-000001000000}" name="Drug" dataDxfId="98"/>
    <tableColumn id="2" xr3:uid="{00000000-0010-0000-0000-000002000000}" name="[mg/" dataDxfId="97"/>
    <tableColumn id="3" xr3:uid="{00000000-0010-0000-0000-000003000000}" name="/mL]" dataDxfId="96"/>
    <tableColumn id="5" xr3:uid="{00000000-0010-0000-0000-000005000000}" name="Low" dataDxfId="95"/>
    <tableColumn id="6" xr3:uid="{00000000-0010-0000-0000-000006000000}" name="High" dataDxfId="94"/>
    <tableColumn id="7" xr3:uid="{00000000-0010-0000-0000-000007000000}" name="Dosing" dataDxfId="93"/>
    <tableColumn id="8" xr3:uid="{00000000-0010-0000-0000-000008000000}" name="Freq" dataDxfId="92"/>
    <tableColumn id="9" xr3:uid="{00000000-0010-0000-0000-000009000000}" name="Dur" dataDxfId="91"/>
    <tableColumn id="10" xr3:uid="{00000000-0010-0000-0000-00000A000000}" name="Max /_x000a_Dose" dataDxfId="90"/>
    <tableColumn id="11" xr3:uid="{00000000-0010-0000-0000-00000B000000}" name="Max / _x000a_Day" dataDxfId="89"/>
    <tableColumn id="12" xr3:uid="{00000000-0010-0000-0000-00000C000000}" name="Dose_x000a_(mL)" dataDxfId="88">
      <calculatedColumnFormula>IF(OR(ISBLANK(kg),R9="",S9=""),"",IF(R9=S9,CONCATENATE(ROUND(R9,2)," mL  "),CONCATENATE(ROUND(R9,2)," - ",ROUND(S9,2)," mL  ")))</calculatedColumnFormula>
    </tableColumn>
    <tableColumn id="23" xr3:uid="{00000000-0010-0000-0000-000017000000}" name="Dose_x000a_(mg)" dataDxfId="87">
      <calculatedColumnFormula>IF(ISBLANK(kg),"",IF(P9=Q9,CONCATENATE(ROUND(P9,2)," mg  "),CONCATENATE(ROUND(P9,2)," - ",ROUND(Q9,2)," mg  ")))</calculatedColumnFormula>
    </tableColumn>
    <tableColumn id="13" xr3:uid="{00000000-0010-0000-0000-00000D000000}" name="Dispense_x000a_(mL)" dataDxfId="86">
      <calculatedColumnFormula>IF(OR(ISBLANK(kg),ISBLANK(I9),ISBLANK(J9),R9="",S9=""),"",IF(R9=S9,CONCATENATE(CEILING(R9*I9*J9,5)," mL  "),CONCATENATE(CEILING(R9*I9*J9,5)," - ",CEILING(S9*I9*J9,5)," mL  ")))</calculatedColumnFormula>
    </tableColumn>
    <tableColumn id="14" xr3:uid="{00000000-0010-0000-0000-00000E000000}" name="Low_x000a_(mg)" dataDxfId="85">
      <calculatedColumnFormula>IF(H9="mg/dose",F9,IF(H9="mg/kg/dose",ROUND(F9*kg,3),ROUND(F9*kg/I9,3)))</calculatedColumnFormula>
    </tableColumn>
    <tableColumn id="22" xr3:uid="{00000000-0010-0000-0000-000016000000}" name="High_x000a_(mg)" dataDxfId="84">
      <calculatedColumnFormula>IF(H9="mg/dose",G9,IF(H9="mg/kg/dose",ROUND(G9*kg,3),ROUND(G9*kg/I9,3)))</calculatedColumnFormula>
    </tableColumn>
    <tableColumn id="15" xr3:uid="{00000000-0010-0000-0000-00000F000000}" name="Low_x000a_(mL)" dataDxfId="83">
      <calculatedColumnFormula>IF(OR(ISBLANK(D9),ISBLANK(E9)),"",ROUND(E9/D9*P9,3))</calculatedColumnFormula>
    </tableColumn>
    <tableColumn id="16" xr3:uid="{00000000-0010-0000-0000-000010000000}" name="High_x000a_(mL)" dataDxfId="82">
      <calculatedColumnFormula>IF(OR(ISBLANK(D9),ISBLANK(E9)),"",ROUND(E9/D9*Q9,3))</calculatedColumnFormula>
    </tableColumn>
    <tableColumn id="18" xr3:uid="{00000000-0010-0000-0000-000012000000}" name="TDD_x000a_(high)" dataDxfId="81">
      <calculatedColumnFormula>Q9*I9</calculatedColumnFormula>
    </tableColumn>
    <tableColumn id="21" xr3:uid="{00000000-0010-0000-0000-000015000000}" name="Notes" dataDxfId="80"/>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blDoseCheck" displayName="tblDoseCheck" ref="C8:T32" totalsRowShown="0" headerRowDxfId="20" dataDxfId="19" tableBorderDxfId="18">
  <autoFilter ref="C8:T32" xr:uid="{00000000-0009-0000-0100-000005000000}">
    <filterColumn colId="0" hiddenButton="1">
      <filters>
        <filter val="cephalexin"/>
      </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100-000001000000}" name="Drug" dataDxfId="17"/>
    <tableColumn id="2" xr3:uid="{00000000-0010-0000-0100-000002000000}" name="[mg/" dataDxfId="16"/>
    <tableColumn id="3" xr3:uid="{00000000-0010-0000-0100-000003000000}" name="/mL]" dataDxfId="15"/>
    <tableColumn id="7" xr3:uid="{00000000-0010-0000-0100-000007000000}" name="Target _x000a_(low)" dataDxfId="14"/>
    <tableColumn id="8" xr3:uid="{00000000-0010-0000-0100-000008000000}" name="Target _x000a_(high) " dataDxfId="13"/>
    <tableColumn id="4" xr3:uid="{00000000-0010-0000-0100-000004000000}" name="Dosing" dataDxfId="12"/>
    <tableColumn id="11" xr3:uid="{00000000-0010-0000-0100-00000B000000}" name="Prescribed _x000a_mg/kg/dose" dataDxfId="11">
      <calculatedColumnFormula>IF(OR(ISBLANK(kg),ISBLANK(dose),ISBLANK(freq),ISBLANK(D9),ISBLANK(E9)),"",(dose*(D9/E9))/kg)</calculatedColumnFormula>
    </tableColumn>
    <tableColumn id="12" xr3:uid="{00000000-0010-0000-0100-00000C000000}" name="Prescribed _x000a_mg/kg/day" dataDxfId="10">
      <calculatedColumnFormula>IF(OR(ISBLANK(kg),ISBLANK(I9)),"",IF(ISBLANK(freq),I9,I9*freq))</calculatedColumnFormula>
    </tableColumn>
    <tableColumn id="6" xr3:uid="{00000000-0010-0000-0100-000006000000}" name="Limit1" dataDxfId="9">
      <calculatedColumnFormula>IF(OR(M9="",N9=""),"",CONCATENATE(M9," - ",N9))</calculatedColumnFormula>
    </tableColumn>
    <tableColumn id="9" xr3:uid="{00000000-0010-0000-0100-000009000000}" name="Limit2" dataDxfId="8">
      <calculatedColumnFormula>IF(OR(O9="",P9=""),"",CONCATENATE(O9," - ",P9))</calculatedColumnFormula>
    </tableColumn>
    <tableColumn id="18" xr3:uid="{00000000-0010-0000-0100-000012000000}" name="Limit1 _x000a_(low)" dataDxfId="7">
      <calculatedColumnFormula>ROUND(F9-(AVERAGE(F9,G9)*LIMIT1),2)</calculatedColumnFormula>
    </tableColumn>
    <tableColumn id="19" xr3:uid="{00000000-0010-0000-0100-000013000000}" name="Limit1_x000a_(high)" dataDxfId="6">
      <calculatedColumnFormula>ROUND(G9+(AVERAGE(F9,G9)*LIMIT1),2)</calculatedColumnFormula>
    </tableColumn>
    <tableColumn id="24" xr3:uid="{00000000-0010-0000-0100-000018000000}" name="Limit2 _x000a_(low)" dataDxfId="5">
      <calculatedColumnFormula>ROUND(F9-(AVERAGE(F9,G9)*LIMIT2),2)</calculatedColumnFormula>
    </tableColumn>
    <tableColumn id="25" xr3:uid="{00000000-0010-0000-0100-000019000000}" name="Limit2 _x000a_(high)" dataDxfId="4">
      <calculatedColumnFormula>ROUND(G9+(AVERAGE(F9,G9)*LIMIT2),2)</calculatedColumnFormula>
    </tableColumn>
    <tableColumn id="10" xr3:uid="{00000000-0010-0000-0100-00000A000000}" name="In Range" dataDxfId="3">
      <calculatedColumnFormula>IF(OR(ISBLANK(kg),ISBLANK(dose),ISBLANK(freq)),"",IF(F9=G9,IF(H9="mg/kg/dose",IF(I9=G9,TRUE,FALSE),IF(J9=G9,TRUE,FALSE)),IF(H9="mg/kg/dose",IF(AND(I9&gt;=F9,I9&lt;=G9),TRUE,FALSE),IF(AND(J9&gt;=F9,J9&lt;=G9),TRUE,FALSE))))</calculatedColumnFormula>
    </tableColumn>
    <tableColumn id="13" xr3:uid="{00000000-0010-0000-0100-00000D000000}" name="&lt; Limit1" dataDxfId="2">
      <calculatedColumnFormula>IF(OR(ISBLANK(kg),ISBLANK(dose),ISBLANK(freq),ISBLANK(LIMIT1)),"",IF(H9="mg/kg/dose",AND(NOT(Q9),I9&gt;=M9,I9&lt;=N9),AND(NOT(Q9),J9&gt;=M9,J9&lt;=N9)))</calculatedColumnFormula>
    </tableColumn>
    <tableColumn id="14" xr3:uid="{00000000-0010-0000-0100-00000E000000}" name="&lt; Limit2" dataDxfId="1">
      <calculatedColumnFormula>IF(OR(ISBLANK(kg),ISBLANK(dose),ISBLANK(freq),ISBLANK(LIMIT2)),"",IF(H9="mg/kg/dose",AND(NOT(Q9),NOT(R9),I9&gt;=O9,I9&lt;=P9),AND(NOT(Q9),NOT(R9),J9&gt;=O9,J9&lt;=P9)))</calculatedColumnFormula>
    </tableColumn>
    <tableColumn id="17" xr3:uid="{00000000-0010-0000-0100-000011000000}" name="&gt; Limit2" dataDxfId="0">
      <calculatedColumnFormula>IF(OR(ISBLANK(kg),ISBLANK(dose),ISBLANK(freq),ISBLANK(LIMIT2)),"",IF(H9="mg/kg/dose",OR(I9&lt;O9,I9&gt;P9),OR(J9&lt;O9,J9&gt;P9)))</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U45"/>
  <sheetViews>
    <sheetView tabSelected="1" workbookViewId="0"/>
  </sheetViews>
  <sheetFormatPr defaultRowHeight="14.4" x14ac:dyDescent="0.3"/>
  <cols>
    <col min="1" max="1" width="19" customWidth="1"/>
    <col min="2" max="2" width="6.77734375" customWidth="1"/>
    <col min="3" max="3" width="19.77734375" customWidth="1"/>
    <col min="4" max="4" width="6.21875" customWidth="1"/>
    <col min="5" max="5" width="7.21875" customWidth="1"/>
    <col min="6" max="6" width="9.21875" customWidth="1"/>
    <col min="7" max="7" width="8" customWidth="1"/>
    <col min="8" max="8" width="12.77734375" customWidth="1"/>
    <col min="9" max="9" width="6" customWidth="1"/>
    <col min="10" max="10" width="6.21875" customWidth="1"/>
    <col min="11" max="11" width="12" customWidth="1"/>
    <col min="12" max="12" width="11" style="1" customWidth="1"/>
    <col min="13" max="13" width="15.77734375" customWidth="1"/>
    <col min="14" max="14" width="17.21875" customWidth="1"/>
    <col min="15" max="15" width="14.21875" customWidth="1"/>
    <col min="16" max="16" width="7.44140625" hidden="1" customWidth="1"/>
    <col min="17" max="17" width="8.77734375" hidden="1" customWidth="1"/>
    <col min="18" max="18" width="7.21875" hidden="1" customWidth="1"/>
    <col min="19" max="19" width="8" hidden="1" customWidth="1"/>
    <col min="20" max="20" width="8.21875" hidden="1" customWidth="1"/>
    <col min="21" max="21" width="53.44140625" customWidth="1"/>
    <col min="22" max="22" width="9.21875" customWidth="1"/>
    <col min="23" max="23" width="10.21875" customWidth="1"/>
  </cols>
  <sheetData>
    <row r="1" spans="1:21" ht="18" x14ac:dyDescent="0.35">
      <c r="A1" s="12"/>
      <c r="B1" s="13" t="s">
        <v>16</v>
      </c>
      <c r="C1" s="12"/>
      <c r="D1" s="12"/>
      <c r="E1" s="14" t="s">
        <v>17</v>
      </c>
      <c r="F1" s="15"/>
      <c r="G1" s="15"/>
      <c r="H1" s="15"/>
      <c r="I1" s="14"/>
      <c r="J1" s="15"/>
      <c r="K1" s="16"/>
      <c r="L1" s="16"/>
      <c r="M1" s="16"/>
      <c r="N1" s="15"/>
      <c r="O1" s="15"/>
      <c r="P1" s="15"/>
      <c r="Q1" s="15"/>
      <c r="R1" s="15"/>
      <c r="S1" s="15"/>
      <c r="T1" s="15"/>
      <c r="U1" s="15"/>
    </row>
    <row r="2" spans="1:21" x14ac:dyDescent="0.3">
      <c r="A2" s="15"/>
      <c r="B2" s="17"/>
      <c r="C2" s="15"/>
      <c r="D2" s="15"/>
      <c r="E2" s="14" t="s">
        <v>18</v>
      </c>
      <c r="F2" s="15"/>
      <c r="G2" s="15"/>
      <c r="H2" s="15"/>
      <c r="I2" s="18"/>
      <c r="J2" s="15"/>
      <c r="K2" s="8"/>
      <c r="L2" s="19"/>
      <c r="M2" s="8"/>
      <c r="N2" s="8"/>
      <c r="O2" s="14"/>
      <c r="P2" s="15"/>
      <c r="Q2" s="15"/>
      <c r="R2" s="15"/>
      <c r="S2" s="15"/>
      <c r="T2" s="15"/>
      <c r="U2" s="15"/>
    </row>
    <row r="3" spans="1:21" ht="15" thickBot="1" x14ac:dyDescent="0.35">
      <c r="A3" s="18"/>
      <c r="B3" s="18"/>
      <c r="C3" s="18"/>
      <c r="D3" s="18"/>
      <c r="E3" s="14"/>
      <c r="F3" s="20" t="s">
        <v>121</v>
      </c>
      <c r="G3" s="15"/>
      <c r="H3" s="15"/>
      <c r="I3" s="18"/>
      <c r="J3" s="15"/>
      <c r="K3" s="8"/>
      <c r="L3" s="19"/>
      <c r="M3" s="8"/>
      <c r="N3" s="8"/>
      <c r="O3" s="14"/>
      <c r="P3" s="15"/>
      <c r="Q3" s="15"/>
      <c r="R3" s="15"/>
      <c r="S3" s="15"/>
      <c r="T3" s="15"/>
      <c r="U3" s="15"/>
    </row>
    <row r="4" spans="1:21" ht="15" thickBot="1" x14ac:dyDescent="0.35">
      <c r="A4" s="21" t="s">
        <v>19</v>
      </c>
      <c r="B4" s="22"/>
      <c r="C4" s="15"/>
      <c r="D4" s="15"/>
      <c r="E4" s="18"/>
      <c r="F4" s="18"/>
      <c r="G4" s="18"/>
      <c r="H4" s="18"/>
      <c r="I4" s="18"/>
      <c r="J4" s="15"/>
      <c r="K4" s="8"/>
      <c r="L4" s="19"/>
      <c r="M4" s="8"/>
      <c r="N4" s="8"/>
      <c r="O4" s="14"/>
      <c r="P4" s="15"/>
      <c r="Q4" s="15"/>
      <c r="R4" s="15"/>
      <c r="S4" s="15"/>
      <c r="T4" s="15"/>
      <c r="U4" s="15"/>
    </row>
    <row r="5" spans="1:21" x14ac:dyDescent="0.3">
      <c r="A5" s="8"/>
      <c r="B5" s="8"/>
      <c r="C5" s="15"/>
      <c r="D5" s="15"/>
      <c r="E5" s="15"/>
      <c r="F5" s="18"/>
      <c r="G5" s="15"/>
      <c r="H5" s="15"/>
      <c r="I5" s="14"/>
      <c r="J5" s="15"/>
      <c r="K5" s="16"/>
      <c r="L5" s="16"/>
      <c r="M5" s="16"/>
      <c r="N5" s="15"/>
      <c r="O5" s="15"/>
      <c r="P5" s="15"/>
      <c r="Q5" s="15"/>
      <c r="R5" s="15"/>
      <c r="S5" s="15"/>
      <c r="T5" s="15"/>
      <c r="U5" s="15"/>
    </row>
    <row r="6" spans="1:21" x14ac:dyDescent="0.3">
      <c r="A6" s="8"/>
      <c r="B6" s="8"/>
      <c r="C6" s="15"/>
      <c r="D6" s="15"/>
      <c r="E6" s="15"/>
      <c r="F6" s="15"/>
      <c r="G6" s="15"/>
      <c r="H6" s="15"/>
      <c r="I6" s="14"/>
      <c r="J6" s="15"/>
      <c r="K6" s="23"/>
      <c r="L6" s="16"/>
      <c r="M6" s="16"/>
      <c r="N6" s="15"/>
      <c r="O6" s="15"/>
      <c r="P6" s="15"/>
      <c r="Q6" s="15"/>
      <c r="R6" s="15"/>
      <c r="S6" s="15"/>
      <c r="T6" s="15"/>
      <c r="U6" s="15"/>
    </row>
    <row r="7" spans="1:21" x14ac:dyDescent="0.3">
      <c r="A7" s="15"/>
      <c r="B7" s="15"/>
      <c r="C7" s="15"/>
      <c r="D7" s="15"/>
      <c r="E7" s="15"/>
      <c r="F7" s="15"/>
      <c r="G7" s="15"/>
      <c r="H7" s="15"/>
      <c r="I7" s="14"/>
      <c r="J7" s="15"/>
      <c r="K7" s="16"/>
      <c r="L7" s="16"/>
      <c r="M7" s="16"/>
      <c r="N7" s="15"/>
      <c r="O7" s="15"/>
      <c r="P7" s="15"/>
      <c r="Q7" s="15"/>
      <c r="R7" s="15"/>
      <c r="S7" s="15"/>
      <c r="T7" s="15"/>
      <c r="U7" s="15"/>
    </row>
    <row r="8" spans="1:21" ht="30" customHeight="1" x14ac:dyDescent="0.3">
      <c r="A8" s="24"/>
      <c r="C8" s="25" t="s">
        <v>20</v>
      </c>
      <c r="D8" s="26" t="s">
        <v>21</v>
      </c>
      <c r="E8" s="26" t="s">
        <v>22</v>
      </c>
      <c r="F8" s="25" t="s">
        <v>23</v>
      </c>
      <c r="G8" s="25" t="s">
        <v>24</v>
      </c>
      <c r="H8" s="25" t="s">
        <v>25</v>
      </c>
      <c r="I8" s="25" t="s">
        <v>26</v>
      </c>
      <c r="J8" s="25" t="s">
        <v>27</v>
      </c>
      <c r="K8" s="27" t="s">
        <v>28</v>
      </c>
      <c r="L8" s="27" t="s">
        <v>29</v>
      </c>
      <c r="M8" s="28" t="s">
        <v>30</v>
      </c>
      <c r="N8" s="28" t="s">
        <v>31</v>
      </c>
      <c r="O8" s="28" t="s">
        <v>32</v>
      </c>
      <c r="P8" s="29" t="s">
        <v>33</v>
      </c>
      <c r="Q8" s="29" t="s">
        <v>34</v>
      </c>
      <c r="R8" s="27" t="s">
        <v>35</v>
      </c>
      <c r="S8" s="27" t="s">
        <v>36</v>
      </c>
      <c r="T8" s="29" t="s">
        <v>37</v>
      </c>
      <c r="U8" s="25" t="s">
        <v>0</v>
      </c>
    </row>
    <row r="9" spans="1:21" x14ac:dyDescent="0.3">
      <c r="C9" s="11" t="s">
        <v>38</v>
      </c>
      <c r="D9" s="30">
        <v>160</v>
      </c>
      <c r="E9" s="30">
        <v>5</v>
      </c>
      <c r="F9" s="30">
        <v>15</v>
      </c>
      <c r="G9" s="30">
        <v>15</v>
      </c>
      <c r="H9" s="31" t="s">
        <v>39</v>
      </c>
      <c r="I9" s="30">
        <v>6</v>
      </c>
      <c r="J9" s="30"/>
      <c r="K9" s="30"/>
      <c r="L9" s="30"/>
      <c r="M9" s="32" t="str">
        <f t="shared" ref="M9:M43" si="0">IF(OR(ISBLANK(kg),R9="",S9=""),"",IF(R9=S9,CONCATENATE(ROUND(R9,2)," mL  "),CONCATENATE(ROUND(R9,2)," - ",ROUND(S9,2)," mL  ")))</f>
        <v/>
      </c>
      <c r="N9" s="32" t="str">
        <f t="shared" ref="N9:N43" si="1">IF(ISBLANK(kg),"",IF(P9=Q9,CONCATENATE(ROUND(P9,2)," mg  "),CONCATENATE(ROUND(P9,2)," - ",ROUND(Q9,2)," mg  ")))</f>
        <v/>
      </c>
      <c r="O9" s="32" t="str">
        <f t="shared" ref="O9:O43" si="2">IF(OR(ISBLANK(kg),ISBLANK(I9),ISBLANK(J9),R9="",S9=""),"",IF(R9=S9,CONCATENATE(CEILING(R9*I9*J9,5)," mL  "),CONCATENATE(CEILING(R9*I9*J9,5)," - ",CEILING(S9*I9*J9,5)," mL  ")))</f>
        <v/>
      </c>
      <c r="P9" s="33">
        <f t="shared" ref="P9:P43" si="3">IF(H9="mg/dose",F9,IF(H9="mg/kg/dose",ROUND(F9*kg,3),ROUND(F9*kg/I9,3)))</f>
        <v>0</v>
      </c>
      <c r="Q9" s="33">
        <f t="shared" ref="Q9:Q43" si="4">IF(H9="mg/dose",G9,IF(H9="mg/kg/dose",ROUND(G9*kg,3),ROUND(G9*kg/I9,3)))</f>
        <v>0</v>
      </c>
      <c r="R9" s="33">
        <f t="shared" ref="R9:R43" si="5">IF(OR(ISBLANK(D9),ISBLANK(E9)),"",ROUND(E9/D9*P9,3))</f>
        <v>0</v>
      </c>
      <c r="S9" s="33">
        <f t="shared" ref="S9:S43" si="6">IF(OR(ISBLANK(D9),ISBLANK(E9)),"",ROUND(E9/D9*Q9,3))</f>
        <v>0</v>
      </c>
      <c r="T9" s="33">
        <f t="shared" ref="T9:T43" si="7">Q9*I9</f>
        <v>0</v>
      </c>
      <c r="U9" s="11"/>
    </row>
    <row r="10" spans="1:21" x14ac:dyDescent="0.3">
      <c r="C10" s="11" t="s">
        <v>40</v>
      </c>
      <c r="D10" s="30">
        <v>200</v>
      </c>
      <c r="E10" s="30">
        <v>5</v>
      </c>
      <c r="F10" s="30">
        <v>15</v>
      </c>
      <c r="G10" s="30">
        <v>15</v>
      </c>
      <c r="H10" s="31" t="s">
        <v>39</v>
      </c>
      <c r="I10" s="30">
        <v>5</v>
      </c>
      <c r="J10" s="30"/>
      <c r="K10" s="30"/>
      <c r="L10" s="30"/>
      <c r="M10" s="32" t="str">
        <f t="shared" si="0"/>
        <v/>
      </c>
      <c r="N10" s="32" t="str">
        <f t="shared" si="1"/>
        <v/>
      </c>
      <c r="O10" s="32" t="str">
        <f t="shared" si="2"/>
        <v/>
      </c>
      <c r="P10" s="33">
        <f t="shared" si="3"/>
        <v>0</v>
      </c>
      <c r="Q10" s="33">
        <f t="shared" si="4"/>
        <v>0</v>
      </c>
      <c r="R10" s="33">
        <f t="shared" si="5"/>
        <v>0</v>
      </c>
      <c r="S10" s="33">
        <f t="shared" si="6"/>
        <v>0</v>
      </c>
      <c r="T10" s="33">
        <f t="shared" si="7"/>
        <v>0</v>
      </c>
      <c r="U10" s="11"/>
    </row>
    <row r="11" spans="1:21" x14ac:dyDescent="0.3">
      <c r="C11" s="11" t="s">
        <v>41</v>
      </c>
      <c r="D11" s="30">
        <v>400</v>
      </c>
      <c r="E11" s="30">
        <v>5</v>
      </c>
      <c r="F11" s="30">
        <v>80</v>
      </c>
      <c r="G11" s="30">
        <v>90</v>
      </c>
      <c r="H11" s="31" t="s">
        <v>42</v>
      </c>
      <c r="I11" s="30">
        <v>2</v>
      </c>
      <c r="J11" s="30">
        <v>10</v>
      </c>
      <c r="K11" s="30"/>
      <c r="L11" s="30">
        <v>3000</v>
      </c>
      <c r="M11" s="32" t="str">
        <f t="shared" si="0"/>
        <v/>
      </c>
      <c r="N11" s="32" t="str">
        <f t="shared" si="1"/>
        <v/>
      </c>
      <c r="O11" s="32" t="str">
        <f t="shared" si="2"/>
        <v/>
      </c>
      <c r="P11" s="33">
        <f t="shared" si="3"/>
        <v>0</v>
      </c>
      <c r="Q11" s="33">
        <f t="shared" si="4"/>
        <v>0</v>
      </c>
      <c r="R11" s="33">
        <f t="shared" si="5"/>
        <v>0</v>
      </c>
      <c r="S11" s="33">
        <f t="shared" si="6"/>
        <v>0</v>
      </c>
      <c r="T11" s="33">
        <f t="shared" si="7"/>
        <v>0</v>
      </c>
      <c r="U11" s="11" t="s">
        <v>43</v>
      </c>
    </row>
    <row r="12" spans="1:21" x14ac:dyDescent="0.3">
      <c r="C12" s="11" t="s">
        <v>41</v>
      </c>
      <c r="D12" s="30">
        <v>400</v>
      </c>
      <c r="E12" s="30">
        <v>5</v>
      </c>
      <c r="F12" s="30">
        <v>50</v>
      </c>
      <c r="G12" s="30">
        <v>50</v>
      </c>
      <c r="H12" s="31" t="s">
        <v>42</v>
      </c>
      <c r="I12" s="30">
        <v>2</v>
      </c>
      <c r="J12" s="30">
        <v>10</v>
      </c>
      <c r="K12" s="30"/>
      <c r="L12" s="30">
        <v>1000</v>
      </c>
      <c r="M12" s="32" t="str">
        <f>IF(OR(ISBLANK(kg),R12="",S12=""),"",IF(R12=S12,CONCATENATE(ROUND(R12,2)," mL  "),CONCATENATE(ROUND(R12,2)," - ",ROUND(S12,2)," mL  ")))</f>
        <v/>
      </c>
      <c r="N12" s="32" t="str">
        <f t="shared" si="1"/>
        <v/>
      </c>
      <c r="O12" s="32" t="str">
        <f t="shared" si="2"/>
        <v/>
      </c>
      <c r="P12" s="33">
        <f t="shared" si="3"/>
        <v>0</v>
      </c>
      <c r="Q12" s="33">
        <f t="shared" si="4"/>
        <v>0</v>
      </c>
      <c r="R12" s="33">
        <f t="shared" si="5"/>
        <v>0</v>
      </c>
      <c r="S12" s="33">
        <f t="shared" si="6"/>
        <v>0</v>
      </c>
      <c r="T12" s="33">
        <f t="shared" si="7"/>
        <v>0</v>
      </c>
      <c r="U12" s="11" t="s">
        <v>44</v>
      </c>
    </row>
    <row r="13" spans="1:21" x14ac:dyDescent="0.3">
      <c r="C13" s="11" t="s">
        <v>45</v>
      </c>
      <c r="D13" s="30">
        <v>400</v>
      </c>
      <c r="E13" s="30">
        <v>5</v>
      </c>
      <c r="F13" s="30">
        <v>80</v>
      </c>
      <c r="G13" s="30">
        <v>90</v>
      </c>
      <c r="H13" s="31" t="s">
        <v>42</v>
      </c>
      <c r="I13" s="30">
        <v>2</v>
      </c>
      <c r="J13" s="30">
        <v>10</v>
      </c>
      <c r="K13" s="30"/>
      <c r="L13" s="30"/>
      <c r="M13" s="32" t="str">
        <f t="shared" si="0"/>
        <v/>
      </c>
      <c r="N13" s="32" t="str">
        <f t="shared" si="1"/>
        <v/>
      </c>
      <c r="O13" s="32" t="str">
        <f t="shared" si="2"/>
        <v/>
      </c>
      <c r="P13" s="33">
        <f t="shared" si="3"/>
        <v>0</v>
      </c>
      <c r="Q13" s="33">
        <f t="shared" si="4"/>
        <v>0</v>
      </c>
      <c r="R13" s="33">
        <f t="shared" si="5"/>
        <v>0</v>
      </c>
      <c r="S13" s="33">
        <f t="shared" si="6"/>
        <v>0</v>
      </c>
      <c r="T13" s="33">
        <f t="shared" si="7"/>
        <v>0</v>
      </c>
      <c r="U13" s="11"/>
    </row>
    <row r="14" spans="1:21" x14ac:dyDescent="0.3">
      <c r="C14" s="11" t="s">
        <v>45</v>
      </c>
      <c r="D14" s="30">
        <v>400</v>
      </c>
      <c r="E14" s="30">
        <v>5</v>
      </c>
      <c r="F14" s="30">
        <v>45</v>
      </c>
      <c r="G14" s="30">
        <v>45</v>
      </c>
      <c r="H14" s="31" t="s">
        <v>42</v>
      </c>
      <c r="I14" s="30">
        <v>2</v>
      </c>
      <c r="J14" s="30">
        <v>7</v>
      </c>
      <c r="K14" s="30"/>
      <c r="L14" s="30"/>
      <c r="M14" s="32" t="str">
        <f t="shared" si="0"/>
        <v/>
      </c>
      <c r="N14" s="32" t="str">
        <f t="shared" si="1"/>
        <v/>
      </c>
      <c r="O14" s="32" t="str">
        <f t="shared" si="2"/>
        <v/>
      </c>
      <c r="P14" s="33">
        <f t="shared" si="3"/>
        <v>0</v>
      </c>
      <c r="Q14" s="33">
        <f t="shared" si="4"/>
        <v>0</v>
      </c>
      <c r="R14" s="33">
        <f t="shared" si="5"/>
        <v>0</v>
      </c>
      <c r="S14" s="33">
        <f t="shared" si="6"/>
        <v>0</v>
      </c>
      <c r="T14" s="33">
        <f t="shared" si="7"/>
        <v>0</v>
      </c>
      <c r="U14" s="11" t="s">
        <v>46</v>
      </c>
    </row>
    <row r="15" spans="1:21" x14ac:dyDescent="0.3">
      <c r="C15" s="11" t="s">
        <v>47</v>
      </c>
      <c r="D15" s="30">
        <v>200</v>
      </c>
      <c r="E15" s="30">
        <v>5</v>
      </c>
      <c r="F15" s="30">
        <v>10</v>
      </c>
      <c r="G15" s="30">
        <v>10</v>
      </c>
      <c r="H15" s="31" t="s">
        <v>42</v>
      </c>
      <c r="I15" s="30">
        <v>1</v>
      </c>
      <c r="J15" s="30">
        <v>1</v>
      </c>
      <c r="K15" s="30"/>
      <c r="L15" s="30"/>
      <c r="M15" s="32" t="str">
        <f t="shared" si="0"/>
        <v/>
      </c>
      <c r="N15" s="32" t="str">
        <f t="shared" si="1"/>
        <v/>
      </c>
      <c r="O15" s="32" t="str">
        <f t="shared" si="2"/>
        <v/>
      </c>
      <c r="P15" s="33">
        <f t="shared" si="3"/>
        <v>0</v>
      </c>
      <c r="Q15" s="33">
        <f t="shared" si="4"/>
        <v>0</v>
      </c>
      <c r="R15" s="33">
        <f t="shared" si="5"/>
        <v>0</v>
      </c>
      <c r="S15" s="33">
        <f t="shared" si="6"/>
        <v>0</v>
      </c>
      <c r="T15" s="33">
        <f t="shared" si="7"/>
        <v>0</v>
      </c>
      <c r="U15" s="11" t="s">
        <v>48</v>
      </c>
    </row>
    <row r="16" spans="1:21" x14ac:dyDescent="0.3">
      <c r="C16" s="11" t="s">
        <v>47</v>
      </c>
      <c r="D16" s="30">
        <v>200</v>
      </c>
      <c r="E16" s="30">
        <v>5</v>
      </c>
      <c r="F16" s="30">
        <v>5</v>
      </c>
      <c r="G16" s="30">
        <v>5</v>
      </c>
      <c r="H16" s="31" t="s">
        <v>42</v>
      </c>
      <c r="I16" s="30">
        <v>1</v>
      </c>
      <c r="J16" s="30">
        <v>4</v>
      </c>
      <c r="K16" s="30"/>
      <c r="L16" s="30"/>
      <c r="M16" s="32" t="str">
        <f t="shared" si="0"/>
        <v/>
      </c>
      <c r="N16" s="32" t="str">
        <f t="shared" si="1"/>
        <v/>
      </c>
      <c r="O16" s="32" t="str">
        <f t="shared" si="2"/>
        <v/>
      </c>
      <c r="P16" s="33">
        <f t="shared" si="3"/>
        <v>0</v>
      </c>
      <c r="Q16" s="33">
        <f t="shared" si="4"/>
        <v>0</v>
      </c>
      <c r="R16" s="33">
        <f t="shared" si="5"/>
        <v>0</v>
      </c>
      <c r="S16" s="33">
        <f t="shared" si="6"/>
        <v>0</v>
      </c>
      <c r="T16" s="33">
        <f t="shared" si="7"/>
        <v>0</v>
      </c>
      <c r="U16" s="11" t="s">
        <v>49</v>
      </c>
    </row>
    <row r="17" spans="3:21" x14ac:dyDescent="0.3">
      <c r="C17" s="11" t="s">
        <v>50</v>
      </c>
      <c r="D17" s="30">
        <v>250</v>
      </c>
      <c r="E17" s="30">
        <v>5</v>
      </c>
      <c r="F17" s="30">
        <v>14</v>
      </c>
      <c r="G17" s="30">
        <v>14</v>
      </c>
      <c r="H17" s="31" t="s">
        <v>42</v>
      </c>
      <c r="I17" s="30">
        <v>1</v>
      </c>
      <c r="J17" s="30">
        <v>10</v>
      </c>
      <c r="K17" s="30"/>
      <c r="L17" s="30"/>
      <c r="M17" s="32" t="str">
        <f t="shared" si="0"/>
        <v/>
      </c>
      <c r="N17" s="32" t="str">
        <f t="shared" si="1"/>
        <v/>
      </c>
      <c r="O17" s="32" t="str">
        <f t="shared" si="2"/>
        <v/>
      </c>
      <c r="P17" s="33">
        <f t="shared" si="3"/>
        <v>0</v>
      </c>
      <c r="Q17" s="33">
        <f t="shared" si="4"/>
        <v>0</v>
      </c>
      <c r="R17" s="33">
        <f t="shared" si="5"/>
        <v>0</v>
      </c>
      <c r="S17" s="33">
        <f t="shared" si="6"/>
        <v>0</v>
      </c>
      <c r="T17" s="33">
        <f t="shared" si="7"/>
        <v>0</v>
      </c>
      <c r="U17" s="11" t="s">
        <v>51</v>
      </c>
    </row>
    <row r="18" spans="3:21" x14ac:dyDescent="0.3">
      <c r="C18" s="11" t="s">
        <v>50</v>
      </c>
      <c r="D18" s="30">
        <v>250</v>
      </c>
      <c r="E18" s="30">
        <v>5</v>
      </c>
      <c r="F18" s="30">
        <v>14</v>
      </c>
      <c r="G18" s="30">
        <v>14</v>
      </c>
      <c r="H18" s="31" t="s">
        <v>42</v>
      </c>
      <c r="I18" s="30">
        <v>2</v>
      </c>
      <c r="J18" s="30">
        <v>10</v>
      </c>
      <c r="K18" s="30"/>
      <c r="L18" s="30">
        <v>600</v>
      </c>
      <c r="M18" s="32" t="str">
        <f t="shared" si="0"/>
        <v/>
      </c>
      <c r="N18" s="32" t="str">
        <f t="shared" si="1"/>
        <v/>
      </c>
      <c r="O18" s="32" t="str">
        <f t="shared" si="2"/>
        <v/>
      </c>
      <c r="P18" s="33">
        <f t="shared" si="3"/>
        <v>0</v>
      </c>
      <c r="Q18" s="33">
        <f t="shared" si="4"/>
        <v>0</v>
      </c>
      <c r="R18" s="33">
        <f t="shared" si="5"/>
        <v>0</v>
      </c>
      <c r="S18" s="33">
        <f t="shared" si="6"/>
        <v>0</v>
      </c>
      <c r="T18" s="33">
        <f t="shared" si="7"/>
        <v>0</v>
      </c>
      <c r="U18" s="11"/>
    </row>
    <row r="19" spans="3:21" x14ac:dyDescent="0.3">
      <c r="C19" s="11" t="s">
        <v>52</v>
      </c>
      <c r="D19" s="30">
        <v>250</v>
      </c>
      <c r="E19" s="30">
        <v>5</v>
      </c>
      <c r="F19" s="30">
        <v>25</v>
      </c>
      <c r="G19" s="30">
        <v>50</v>
      </c>
      <c r="H19" s="31" t="s">
        <v>42</v>
      </c>
      <c r="I19" s="30">
        <v>4</v>
      </c>
      <c r="J19" s="30">
        <v>10</v>
      </c>
      <c r="K19" s="30">
        <v>250</v>
      </c>
      <c r="L19" s="30"/>
      <c r="M19" s="32" t="str">
        <f t="shared" si="0"/>
        <v/>
      </c>
      <c r="N19" s="32" t="str">
        <f t="shared" si="1"/>
        <v/>
      </c>
      <c r="O19" s="32" t="str">
        <f t="shared" si="2"/>
        <v/>
      </c>
      <c r="P19" s="33">
        <f t="shared" si="3"/>
        <v>0</v>
      </c>
      <c r="Q19" s="33">
        <f t="shared" si="4"/>
        <v>0</v>
      </c>
      <c r="R19" s="33">
        <f t="shared" si="5"/>
        <v>0</v>
      </c>
      <c r="S19" s="33">
        <f t="shared" si="6"/>
        <v>0</v>
      </c>
      <c r="T19" s="33">
        <f t="shared" si="7"/>
        <v>0</v>
      </c>
      <c r="U19" s="11" t="s">
        <v>53</v>
      </c>
    </row>
    <row r="20" spans="3:21" x14ac:dyDescent="0.3">
      <c r="C20" s="11" t="s">
        <v>52</v>
      </c>
      <c r="D20" s="30">
        <v>250</v>
      </c>
      <c r="E20" s="30">
        <v>5</v>
      </c>
      <c r="F20" s="30">
        <v>40</v>
      </c>
      <c r="G20" s="30">
        <v>40</v>
      </c>
      <c r="H20" s="31" t="s">
        <v>42</v>
      </c>
      <c r="I20" s="30">
        <v>2</v>
      </c>
      <c r="J20" s="30">
        <v>10</v>
      </c>
      <c r="K20" s="30">
        <v>500</v>
      </c>
      <c r="L20" s="30"/>
      <c r="M20" s="32" t="str">
        <f t="shared" si="0"/>
        <v/>
      </c>
      <c r="N20" s="32" t="str">
        <f t="shared" si="1"/>
        <v/>
      </c>
      <c r="O20" s="32" t="str">
        <f t="shared" si="2"/>
        <v/>
      </c>
      <c r="P20" s="33">
        <f t="shared" si="3"/>
        <v>0</v>
      </c>
      <c r="Q20" s="33">
        <f t="shared" si="4"/>
        <v>0</v>
      </c>
      <c r="R20" s="33">
        <f t="shared" si="5"/>
        <v>0</v>
      </c>
      <c r="S20" s="33">
        <f t="shared" si="6"/>
        <v>0</v>
      </c>
      <c r="T20" s="33">
        <f t="shared" si="7"/>
        <v>0</v>
      </c>
      <c r="U20" s="11" t="s">
        <v>54</v>
      </c>
    </row>
    <row r="21" spans="3:21" x14ac:dyDescent="0.3">
      <c r="C21" s="11" t="s">
        <v>55</v>
      </c>
      <c r="D21" s="30">
        <v>250</v>
      </c>
      <c r="E21" s="30">
        <v>5</v>
      </c>
      <c r="F21" s="30">
        <v>20</v>
      </c>
      <c r="G21" s="30">
        <v>30</v>
      </c>
      <c r="H21" s="31" t="s">
        <v>42</v>
      </c>
      <c r="I21" s="30">
        <v>2</v>
      </c>
      <c r="J21" s="30">
        <v>14</v>
      </c>
      <c r="K21" s="30"/>
      <c r="L21" s="30"/>
      <c r="M21" s="32" t="str">
        <f t="shared" si="0"/>
        <v/>
      </c>
      <c r="N21" s="32" t="str">
        <f t="shared" si="1"/>
        <v/>
      </c>
      <c r="O21" s="32" t="str">
        <f t="shared" si="2"/>
        <v/>
      </c>
      <c r="P21" s="33">
        <f t="shared" si="3"/>
        <v>0</v>
      </c>
      <c r="Q21" s="33">
        <f t="shared" si="4"/>
        <v>0</v>
      </c>
      <c r="R21" s="33">
        <f t="shared" si="5"/>
        <v>0</v>
      </c>
      <c r="S21" s="33">
        <f t="shared" si="6"/>
        <v>0</v>
      </c>
      <c r="T21" s="33">
        <f t="shared" si="7"/>
        <v>0</v>
      </c>
      <c r="U21" s="11" t="s">
        <v>56</v>
      </c>
    </row>
    <row r="22" spans="3:21" x14ac:dyDescent="0.3">
      <c r="C22" s="11" t="s">
        <v>57</v>
      </c>
      <c r="D22" s="30">
        <v>75</v>
      </c>
      <c r="E22" s="30">
        <v>5</v>
      </c>
      <c r="F22" s="30">
        <v>20</v>
      </c>
      <c r="G22" s="30">
        <v>40</v>
      </c>
      <c r="H22" s="31" t="s">
        <v>42</v>
      </c>
      <c r="I22" s="30">
        <v>3</v>
      </c>
      <c r="J22" s="30">
        <v>10</v>
      </c>
      <c r="K22" s="30">
        <v>600</v>
      </c>
      <c r="L22" s="30">
        <v>2700</v>
      </c>
      <c r="M22" s="32" t="str">
        <f t="shared" si="0"/>
        <v/>
      </c>
      <c r="N22" s="32" t="str">
        <f t="shared" si="1"/>
        <v/>
      </c>
      <c r="O22" s="32" t="str">
        <f t="shared" si="2"/>
        <v/>
      </c>
      <c r="P22" s="33">
        <f t="shared" si="3"/>
        <v>0</v>
      </c>
      <c r="Q22" s="33">
        <f t="shared" si="4"/>
        <v>0</v>
      </c>
      <c r="R22" s="33">
        <f t="shared" si="5"/>
        <v>0</v>
      </c>
      <c r="S22" s="33">
        <f t="shared" si="6"/>
        <v>0</v>
      </c>
      <c r="T22" s="33">
        <f t="shared" si="7"/>
        <v>0</v>
      </c>
      <c r="U22" s="11" t="s">
        <v>58</v>
      </c>
    </row>
    <row r="23" spans="3:21" x14ac:dyDescent="0.3">
      <c r="C23" s="11" t="s">
        <v>57</v>
      </c>
      <c r="D23" s="30">
        <v>75</v>
      </c>
      <c r="E23" s="30">
        <v>5</v>
      </c>
      <c r="F23" s="30">
        <v>21</v>
      </c>
      <c r="G23" s="30">
        <v>21</v>
      </c>
      <c r="H23" s="31" t="s">
        <v>42</v>
      </c>
      <c r="I23" s="30">
        <v>3</v>
      </c>
      <c r="J23" s="30">
        <v>10</v>
      </c>
      <c r="K23" s="30">
        <v>300</v>
      </c>
      <c r="L23" s="30"/>
      <c r="M23" s="32" t="str">
        <f t="shared" si="0"/>
        <v/>
      </c>
      <c r="N23" s="32" t="str">
        <f t="shared" si="1"/>
        <v/>
      </c>
      <c r="O23" s="32" t="str">
        <f t="shared" si="2"/>
        <v/>
      </c>
      <c r="P23" s="33">
        <f t="shared" si="3"/>
        <v>0</v>
      </c>
      <c r="Q23" s="33">
        <f t="shared" si="4"/>
        <v>0</v>
      </c>
      <c r="R23" s="33">
        <f t="shared" si="5"/>
        <v>0</v>
      </c>
      <c r="S23" s="33">
        <f t="shared" si="6"/>
        <v>0</v>
      </c>
      <c r="T23" s="33">
        <f t="shared" si="7"/>
        <v>0</v>
      </c>
      <c r="U23" s="11" t="s">
        <v>54</v>
      </c>
    </row>
    <row r="24" spans="3:21" x14ac:dyDescent="0.3">
      <c r="C24" s="11" t="s">
        <v>59</v>
      </c>
      <c r="D24" s="30">
        <v>4</v>
      </c>
      <c r="E24" s="30">
        <v>1</v>
      </c>
      <c r="F24" s="30">
        <v>0.6</v>
      </c>
      <c r="G24" s="30">
        <v>0.6</v>
      </c>
      <c r="H24" s="31" t="s">
        <v>39</v>
      </c>
      <c r="I24" s="30">
        <v>1</v>
      </c>
      <c r="J24" s="30"/>
      <c r="K24" s="30"/>
      <c r="L24" s="30"/>
      <c r="M24" s="32" t="str">
        <f t="shared" si="0"/>
        <v/>
      </c>
      <c r="N24" s="32" t="str">
        <f t="shared" si="1"/>
        <v/>
      </c>
      <c r="O24" s="32" t="str">
        <f t="shared" si="2"/>
        <v/>
      </c>
      <c r="P24" s="33">
        <f t="shared" si="3"/>
        <v>0</v>
      </c>
      <c r="Q24" s="33">
        <f t="shared" si="4"/>
        <v>0</v>
      </c>
      <c r="R24" s="33">
        <f t="shared" si="5"/>
        <v>0</v>
      </c>
      <c r="S24" s="33">
        <f t="shared" si="6"/>
        <v>0</v>
      </c>
      <c r="T24" s="33">
        <f t="shared" si="7"/>
        <v>0</v>
      </c>
      <c r="U24" s="11"/>
    </row>
    <row r="25" spans="3:21" x14ac:dyDescent="0.3">
      <c r="C25" s="11" t="s">
        <v>60</v>
      </c>
      <c r="D25" s="30">
        <v>12.5</v>
      </c>
      <c r="E25" s="30">
        <v>5</v>
      </c>
      <c r="F25" s="30">
        <v>1</v>
      </c>
      <c r="G25" s="30">
        <v>2</v>
      </c>
      <c r="H25" s="31" t="s">
        <v>39</v>
      </c>
      <c r="I25" s="30">
        <v>4</v>
      </c>
      <c r="J25" s="30"/>
      <c r="K25" s="30"/>
      <c r="L25" s="30"/>
      <c r="M25" s="32" t="str">
        <f t="shared" si="0"/>
        <v/>
      </c>
      <c r="N25" s="32" t="str">
        <f t="shared" si="1"/>
        <v/>
      </c>
      <c r="O25" s="32" t="str">
        <f t="shared" si="2"/>
        <v/>
      </c>
      <c r="P25" s="33">
        <f t="shared" si="3"/>
        <v>0</v>
      </c>
      <c r="Q25" s="33">
        <f t="shared" si="4"/>
        <v>0</v>
      </c>
      <c r="R25" s="33">
        <f t="shared" si="5"/>
        <v>0</v>
      </c>
      <c r="S25" s="33">
        <f t="shared" si="6"/>
        <v>0</v>
      </c>
      <c r="T25" s="33">
        <f t="shared" si="7"/>
        <v>0</v>
      </c>
      <c r="U25" s="11"/>
    </row>
    <row r="26" spans="3:21" x14ac:dyDescent="0.3">
      <c r="C26" s="11" t="s">
        <v>61</v>
      </c>
      <c r="D26" s="30">
        <v>10</v>
      </c>
      <c r="E26" s="30">
        <v>1</v>
      </c>
      <c r="F26" s="30">
        <v>5</v>
      </c>
      <c r="G26" s="30">
        <v>5</v>
      </c>
      <c r="H26" s="31" t="s">
        <v>39</v>
      </c>
      <c r="I26" s="30">
        <v>1</v>
      </c>
      <c r="J26" s="30"/>
      <c r="K26" s="30"/>
      <c r="L26" s="30"/>
      <c r="M26" s="32" t="str">
        <f t="shared" si="0"/>
        <v/>
      </c>
      <c r="N26" s="32" t="str">
        <f t="shared" si="1"/>
        <v/>
      </c>
      <c r="O26" s="32" t="str">
        <f t="shared" si="2"/>
        <v/>
      </c>
      <c r="P26" s="33">
        <f t="shared" si="3"/>
        <v>0</v>
      </c>
      <c r="Q26" s="33">
        <f t="shared" si="4"/>
        <v>0</v>
      </c>
      <c r="R26" s="33">
        <f t="shared" si="5"/>
        <v>0</v>
      </c>
      <c r="S26" s="33">
        <f t="shared" si="6"/>
        <v>0</v>
      </c>
      <c r="T26" s="33">
        <f t="shared" si="7"/>
        <v>0</v>
      </c>
      <c r="U26" s="11"/>
    </row>
    <row r="27" spans="3:21" x14ac:dyDescent="0.3">
      <c r="C27" s="11" t="s">
        <v>62</v>
      </c>
      <c r="D27" s="30">
        <v>1</v>
      </c>
      <c r="E27" s="30">
        <v>1</v>
      </c>
      <c r="F27" s="30">
        <v>0.3</v>
      </c>
      <c r="G27" s="30">
        <v>0.3</v>
      </c>
      <c r="H27" s="31" t="s">
        <v>42</v>
      </c>
      <c r="I27" s="30">
        <v>2</v>
      </c>
      <c r="J27" s="30"/>
      <c r="K27" s="30"/>
      <c r="L27" s="30"/>
      <c r="M27" s="32" t="str">
        <f t="shared" si="0"/>
        <v/>
      </c>
      <c r="N27" s="32" t="str">
        <f>IF(ISBLANK(kg),"",IF(P27=Q27,CONCATENATE(ROUND(P27,2)," mg  "),CONCATENATE(ROUND(P27,2)," - ",ROUND(Q27,2)," mg  ")))</f>
        <v/>
      </c>
      <c r="O27" s="32" t="str">
        <f t="shared" si="2"/>
        <v/>
      </c>
      <c r="P27" s="33">
        <f t="shared" si="3"/>
        <v>0</v>
      </c>
      <c r="Q27" s="33">
        <f t="shared" si="4"/>
        <v>0</v>
      </c>
      <c r="R27" s="33">
        <f t="shared" si="5"/>
        <v>0</v>
      </c>
      <c r="S27" s="33">
        <f t="shared" si="6"/>
        <v>0</v>
      </c>
      <c r="T27" s="33">
        <f>Q27*I27</f>
        <v>0</v>
      </c>
      <c r="U27" s="11"/>
    </row>
    <row r="28" spans="3:21" x14ac:dyDescent="0.3">
      <c r="C28" s="11" t="s">
        <v>63</v>
      </c>
      <c r="D28" s="30">
        <v>15</v>
      </c>
      <c r="E28" s="30">
        <v>1</v>
      </c>
      <c r="F28" s="30">
        <v>3</v>
      </c>
      <c r="G28" s="30">
        <v>6</v>
      </c>
      <c r="H28" s="31" t="s">
        <v>42</v>
      </c>
      <c r="I28" s="30">
        <v>2</v>
      </c>
      <c r="J28" s="30">
        <v>90</v>
      </c>
      <c r="K28" s="30"/>
      <c r="L28" s="30"/>
      <c r="M28" s="32" t="str">
        <f t="shared" si="0"/>
        <v/>
      </c>
      <c r="N28" s="32" t="str">
        <f t="shared" si="1"/>
        <v/>
      </c>
      <c r="O28" s="32" t="str">
        <f t="shared" si="2"/>
        <v/>
      </c>
      <c r="P28" s="33">
        <f t="shared" si="3"/>
        <v>0</v>
      </c>
      <c r="Q28" s="33">
        <f t="shared" si="4"/>
        <v>0</v>
      </c>
      <c r="R28" s="33">
        <f t="shared" si="5"/>
        <v>0</v>
      </c>
      <c r="S28" s="33">
        <f t="shared" si="6"/>
        <v>0</v>
      </c>
      <c r="T28" s="33">
        <f t="shared" si="7"/>
        <v>0</v>
      </c>
      <c r="U28" s="11"/>
    </row>
    <row r="29" spans="3:21" x14ac:dyDescent="0.3">
      <c r="C29" s="11" t="s">
        <v>64</v>
      </c>
      <c r="D29" s="30">
        <v>10</v>
      </c>
      <c r="E29" s="30">
        <v>1</v>
      </c>
      <c r="F29" s="30"/>
      <c r="G29" s="30"/>
      <c r="H29" s="31" t="s">
        <v>39</v>
      </c>
      <c r="I29" s="30"/>
      <c r="J29" s="30"/>
      <c r="K29" s="30"/>
      <c r="L29" s="30"/>
      <c r="M29" s="32" t="str">
        <f t="shared" si="0"/>
        <v/>
      </c>
      <c r="N29" s="32" t="str">
        <f>IF(ISBLANK(kg),"",IF(P29=Q29,CONCATENATE(ROUND(P29,2)," mg  "),CONCATENATE(ROUND(P29,2)," - ",ROUND(Q29,2)," mg  ")))</f>
        <v/>
      </c>
      <c r="O29" s="32" t="str">
        <f t="shared" si="2"/>
        <v/>
      </c>
      <c r="P29" s="33">
        <f t="shared" si="3"/>
        <v>0</v>
      </c>
      <c r="Q29" s="33">
        <f t="shared" si="4"/>
        <v>0</v>
      </c>
      <c r="R29" s="33">
        <f t="shared" si="5"/>
        <v>0</v>
      </c>
      <c r="S29" s="33">
        <f t="shared" si="6"/>
        <v>0</v>
      </c>
      <c r="T29" s="33">
        <f>Q29*I29</f>
        <v>0</v>
      </c>
      <c r="U29" s="11"/>
    </row>
    <row r="30" spans="3:21" x14ac:dyDescent="0.3">
      <c r="C30" s="11" t="s">
        <v>65</v>
      </c>
      <c r="D30" s="30">
        <v>125</v>
      </c>
      <c r="E30" s="30">
        <v>5</v>
      </c>
      <c r="F30" s="30">
        <v>20</v>
      </c>
      <c r="G30" s="30">
        <v>25</v>
      </c>
      <c r="H30" s="31" t="s">
        <v>42</v>
      </c>
      <c r="I30" s="30">
        <v>1</v>
      </c>
      <c r="J30" s="30">
        <v>42</v>
      </c>
      <c r="K30" s="30"/>
      <c r="L30" s="30"/>
      <c r="M30" s="32" t="str">
        <f t="shared" si="0"/>
        <v/>
      </c>
      <c r="N30" s="32" t="str">
        <f t="shared" si="1"/>
        <v/>
      </c>
      <c r="O30" s="32" t="str">
        <f t="shared" si="2"/>
        <v/>
      </c>
      <c r="P30" s="33">
        <f t="shared" si="3"/>
        <v>0</v>
      </c>
      <c r="Q30" s="33">
        <f t="shared" si="4"/>
        <v>0</v>
      </c>
      <c r="R30" s="33">
        <f t="shared" si="5"/>
        <v>0</v>
      </c>
      <c r="S30" s="33">
        <f t="shared" si="6"/>
        <v>0</v>
      </c>
      <c r="T30" s="33">
        <f t="shared" si="7"/>
        <v>0</v>
      </c>
      <c r="U30" s="11"/>
    </row>
    <row r="31" spans="3:21" x14ac:dyDescent="0.3">
      <c r="C31" s="11" t="s">
        <v>66</v>
      </c>
      <c r="D31" s="30">
        <v>10</v>
      </c>
      <c r="E31" s="30">
        <v>5</v>
      </c>
      <c r="F31" s="30">
        <v>0.5</v>
      </c>
      <c r="G31" s="30">
        <v>1</v>
      </c>
      <c r="H31" s="31" t="s">
        <v>39</v>
      </c>
      <c r="I31" s="30">
        <v>6</v>
      </c>
      <c r="J31" s="30"/>
      <c r="K31" s="30"/>
      <c r="L31" s="30"/>
      <c r="M31" s="32" t="str">
        <f t="shared" si="0"/>
        <v/>
      </c>
      <c r="N31" s="32" t="str">
        <f t="shared" si="1"/>
        <v/>
      </c>
      <c r="O31" s="32" t="str">
        <f t="shared" si="2"/>
        <v/>
      </c>
      <c r="P31" s="33">
        <f t="shared" si="3"/>
        <v>0</v>
      </c>
      <c r="Q31" s="33">
        <f t="shared" si="4"/>
        <v>0</v>
      </c>
      <c r="R31" s="33">
        <f t="shared" si="5"/>
        <v>0</v>
      </c>
      <c r="S31" s="33">
        <f t="shared" si="6"/>
        <v>0</v>
      </c>
      <c r="T31" s="33">
        <f t="shared" si="7"/>
        <v>0</v>
      </c>
      <c r="U31" s="11"/>
    </row>
    <row r="32" spans="3:21" x14ac:dyDescent="0.3">
      <c r="C32" s="11" t="s">
        <v>67</v>
      </c>
      <c r="D32" s="30">
        <v>100</v>
      </c>
      <c r="E32" s="30">
        <v>5</v>
      </c>
      <c r="F32" s="30">
        <v>10</v>
      </c>
      <c r="G32" s="30">
        <v>10</v>
      </c>
      <c r="H32" s="31" t="s">
        <v>39</v>
      </c>
      <c r="I32" s="30">
        <v>4</v>
      </c>
      <c r="J32" s="30"/>
      <c r="K32" s="30"/>
      <c r="L32" s="30"/>
      <c r="M32" s="32" t="str">
        <f t="shared" si="0"/>
        <v/>
      </c>
      <c r="N32" s="32" t="str">
        <f t="shared" si="1"/>
        <v/>
      </c>
      <c r="O32" s="32" t="str">
        <f t="shared" si="2"/>
        <v/>
      </c>
      <c r="P32" s="33">
        <f t="shared" si="3"/>
        <v>0</v>
      </c>
      <c r="Q32" s="33">
        <f t="shared" si="4"/>
        <v>0</v>
      </c>
      <c r="R32" s="33">
        <f t="shared" si="5"/>
        <v>0</v>
      </c>
      <c r="S32" s="33">
        <f t="shared" si="6"/>
        <v>0</v>
      </c>
      <c r="T32" s="33">
        <f t="shared" si="7"/>
        <v>0</v>
      </c>
      <c r="U32" s="11"/>
    </row>
    <row r="33" spans="3:21" x14ac:dyDescent="0.3">
      <c r="C33" s="11" t="s">
        <v>67</v>
      </c>
      <c r="D33" s="30">
        <v>50</v>
      </c>
      <c r="E33" s="30">
        <v>1.25</v>
      </c>
      <c r="F33" s="30">
        <v>10</v>
      </c>
      <c r="G33" s="30">
        <v>10</v>
      </c>
      <c r="H33" s="31" t="s">
        <v>39</v>
      </c>
      <c r="I33" s="30">
        <v>4</v>
      </c>
      <c r="J33" s="30"/>
      <c r="K33" s="30"/>
      <c r="L33" s="30"/>
      <c r="M33" s="32" t="str">
        <f t="shared" si="0"/>
        <v/>
      </c>
      <c r="N33" s="32" t="str">
        <f t="shared" si="1"/>
        <v/>
      </c>
      <c r="O33" s="32" t="str">
        <f t="shared" si="2"/>
        <v/>
      </c>
      <c r="P33" s="33">
        <f t="shared" si="3"/>
        <v>0</v>
      </c>
      <c r="Q33" s="33">
        <f t="shared" si="4"/>
        <v>0</v>
      </c>
      <c r="R33" s="33">
        <f t="shared" si="5"/>
        <v>0</v>
      </c>
      <c r="S33" s="33">
        <f t="shared" si="6"/>
        <v>0</v>
      </c>
      <c r="T33" s="33">
        <f t="shared" si="7"/>
        <v>0</v>
      </c>
      <c r="U33" s="11"/>
    </row>
    <row r="34" spans="3:21" x14ac:dyDescent="0.3">
      <c r="C34" s="11" t="s">
        <v>68</v>
      </c>
      <c r="D34" s="30">
        <v>50</v>
      </c>
      <c r="E34" s="30">
        <v>5</v>
      </c>
      <c r="F34" s="30">
        <v>10</v>
      </c>
      <c r="G34" s="30">
        <v>20</v>
      </c>
      <c r="H34" s="31" t="s">
        <v>42</v>
      </c>
      <c r="I34" s="30">
        <v>1</v>
      </c>
      <c r="J34" s="30">
        <v>270</v>
      </c>
      <c r="K34" s="30">
        <v>300</v>
      </c>
      <c r="L34" s="30"/>
      <c r="M34" s="32" t="str">
        <f t="shared" si="0"/>
        <v/>
      </c>
      <c r="N34" s="32" t="str">
        <f t="shared" si="1"/>
        <v/>
      </c>
      <c r="O34" s="32" t="str">
        <f t="shared" si="2"/>
        <v/>
      </c>
      <c r="P34" s="33">
        <f t="shared" si="3"/>
        <v>0</v>
      </c>
      <c r="Q34" s="33">
        <f t="shared" si="4"/>
        <v>0</v>
      </c>
      <c r="R34" s="33">
        <f t="shared" si="5"/>
        <v>0</v>
      </c>
      <c r="S34" s="33">
        <f t="shared" si="6"/>
        <v>0</v>
      </c>
      <c r="T34" s="33">
        <f>Q34*I34</f>
        <v>0</v>
      </c>
      <c r="U34" s="11" t="s">
        <v>69</v>
      </c>
    </row>
    <row r="35" spans="3:21" x14ac:dyDescent="0.3">
      <c r="C35" s="11" t="s">
        <v>70</v>
      </c>
      <c r="D35" s="30">
        <v>3</v>
      </c>
      <c r="E35" s="30">
        <v>1</v>
      </c>
      <c r="F35" s="30">
        <v>0.7</v>
      </c>
      <c r="G35" s="30">
        <v>3</v>
      </c>
      <c r="H35" s="31" t="s">
        <v>42</v>
      </c>
      <c r="I35" s="30">
        <v>1</v>
      </c>
      <c r="J35" s="30">
        <v>90</v>
      </c>
      <c r="K35" s="30"/>
      <c r="L35" s="30"/>
      <c r="M35" s="32" t="str">
        <f>IF(OR(ISBLANK(kg),R35="",S35=""),"",IF(R35=S35,CONCATENATE(ROUND(R35,2)," mL  "),CONCATENATE(ROUND(R35,2)," - ",ROUND(S35,2)," mL  ")))</f>
        <v/>
      </c>
      <c r="N35" s="32" t="str">
        <f>IF(ISBLANK(kg),"",IF(P35=Q35,CONCATENATE(ROUND(P35,2)," mg  "),CONCATENATE(ROUND(P35,2)," - ",ROUND(Q35,2)," mg  ")))</f>
        <v/>
      </c>
      <c r="O35" s="32" t="str">
        <f>IF(OR(ISBLANK(kg),ISBLANK(I35),ISBLANK(J35),R35="",S35=""),"",IF(R35=S35,CONCATENATE(CEILING(R35*I35*J35,5)," mL  "),CONCATENATE(CEILING(R35*I35*J35,5)," - ",CEILING(S35*I35*J35,5)," mL  ")))</f>
        <v/>
      </c>
      <c r="P35" s="33">
        <f>IF(H35="mg/dose",F35,IF(H35="mg/kg/dose",ROUND(F35*kg,3),ROUND(F35*kg/I35,3)))</f>
        <v>0</v>
      </c>
      <c r="Q35" s="33">
        <f>IF(H35="mg/dose",G35,IF(H35="mg/kg/dose",ROUND(G35*kg,3),ROUND(G35*kg/I35,3)))</f>
        <v>0</v>
      </c>
      <c r="R35" s="33">
        <f>IF(OR(ISBLANK(D35),ISBLANK(E35)),"",ROUND(E35/D35*P35,3))</f>
        <v>0</v>
      </c>
      <c r="S35" s="33">
        <f>IF(OR(ISBLANK(D35),ISBLANK(E35)),"",ROUND(E35/D35*Q35,3))</f>
        <v>0</v>
      </c>
      <c r="T35" s="33">
        <f>Q35*I35</f>
        <v>0</v>
      </c>
      <c r="U35" s="11"/>
    </row>
    <row r="36" spans="3:21" x14ac:dyDescent="0.3">
      <c r="C36" s="11" t="s">
        <v>71</v>
      </c>
      <c r="D36" s="30">
        <v>0.8</v>
      </c>
      <c r="E36" s="30">
        <v>1</v>
      </c>
      <c r="F36" s="30">
        <v>0.15</v>
      </c>
      <c r="G36" s="30">
        <v>0.15</v>
      </c>
      <c r="H36" s="31" t="s">
        <v>39</v>
      </c>
      <c r="I36" s="30">
        <v>2</v>
      </c>
      <c r="J36" s="30"/>
      <c r="K36" s="30"/>
      <c r="L36" s="30"/>
      <c r="M36" s="32" t="str">
        <f t="shared" si="0"/>
        <v/>
      </c>
      <c r="N36" s="32" t="str">
        <f t="shared" si="1"/>
        <v/>
      </c>
      <c r="O36" s="32" t="str">
        <f t="shared" si="2"/>
        <v/>
      </c>
      <c r="P36" s="33">
        <f t="shared" si="3"/>
        <v>0</v>
      </c>
      <c r="Q36" s="33">
        <f t="shared" si="4"/>
        <v>0</v>
      </c>
      <c r="R36" s="33">
        <f t="shared" si="5"/>
        <v>0</v>
      </c>
      <c r="S36" s="33">
        <f t="shared" si="6"/>
        <v>0</v>
      </c>
      <c r="T36" s="33">
        <f t="shared" si="7"/>
        <v>0</v>
      </c>
      <c r="U36" s="11"/>
    </row>
    <row r="37" spans="3:21" x14ac:dyDescent="0.3">
      <c r="C37" s="11" t="s">
        <v>72</v>
      </c>
      <c r="D37" s="30">
        <v>2</v>
      </c>
      <c r="E37" s="30">
        <v>1</v>
      </c>
      <c r="F37" s="30">
        <v>0.15</v>
      </c>
      <c r="G37" s="30">
        <v>0.15</v>
      </c>
      <c r="H37" s="31" t="s">
        <v>39</v>
      </c>
      <c r="I37" s="30">
        <v>2</v>
      </c>
      <c r="J37" s="30"/>
      <c r="K37" s="30"/>
      <c r="L37" s="30"/>
      <c r="M37" s="32" t="str">
        <f t="shared" si="0"/>
        <v/>
      </c>
      <c r="N37" s="32" t="str">
        <f t="shared" si="1"/>
        <v/>
      </c>
      <c r="O37" s="32" t="str">
        <f t="shared" si="2"/>
        <v/>
      </c>
      <c r="P37" s="33">
        <f t="shared" si="3"/>
        <v>0</v>
      </c>
      <c r="Q37" s="33">
        <f t="shared" si="4"/>
        <v>0</v>
      </c>
      <c r="R37" s="33">
        <f t="shared" si="5"/>
        <v>0</v>
      </c>
      <c r="S37" s="33">
        <f t="shared" si="6"/>
        <v>0</v>
      </c>
      <c r="T37" s="33">
        <f t="shared" si="7"/>
        <v>0</v>
      </c>
      <c r="U37" s="11"/>
    </row>
    <row r="38" spans="3:21" x14ac:dyDescent="0.3">
      <c r="C38" s="11" t="s">
        <v>73</v>
      </c>
      <c r="D38" s="30">
        <v>15</v>
      </c>
      <c r="E38" s="30">
        <v>5</v>
      </c>
      <c r="F38" s="30">
        <v>1</v>
      </c>
      <c r="G38" s="30">
        <v>2</v>
      </c>
      <c r="H38" s="31" t="s">
        <v>42</v>
      </c>
      <c r="I38" s="30">
        <v>1</v>
      </c>
      <c r="J38" s="30">
        <v>5</v>
      </c>
      <c r="K38" s="30"/>
      <c r="L38" s="30">
        <v>60</v>
      </c>
      <c r="M38" s="32" t="str">
        <f t="shared" si="0"/>
        <v/>
      </c>
      <c r="N38" s="32" t="str">
        <f t="shared" si="1"/>
        <v/>
      </c>
      <c r="O38" s="32" t="str">
        <f t="shared" si="2"/>
        <v/>
      </c>
      <c r="P38" s="33">
        <f t="shared" si="3"/>
        <v>0</v>
      </c>
      <c r="Q38" s="33">
        <f t="shared" si="4"/>
        <v>0</v>
      </c>
      <c r="R38" s="33">
        <f t="shared" si="5"/>
        <v>0</v>
      </c>
      <c r="S38" s="33">
        <f t="shared" si="6"/>
        <v>0</v>
      </c>
      <c r="T38" s="33">
        <f t="shared" si="7"/>
        <v>0</v>
      </c>
      <c r="U38" s="11" t="s">
        <v>74</v>
      </c>
    </row>
    <row r="39" spans="3:21" x14ac:dyDescent="0.3">
      <c r="C39" s="11" t="s">
        <v>75</v>
      </c>
      <c r="D39" s="30">
        <v>15</v>
      </c>
      <c r="E39" s="30">
        <v>1</v>
      </c>
      <c r="F39" s="30">
        <v>5</v>
      </c>
      <c r="G39" s="30">
        <v>10</v>
      </c>
      <c r="H39" s="31" t="s">
        <v>42</v>
      </c>
      <c r="I39" s="30">
        <v>2</v>
      </c>
      <c r="J39" s="30">
        <v>90</v>
      </c>
      <c r="K39" s="30"/>
      <c r="L39" s="30">
        <v>300</v>
      </c>
      <c r="M39" s="32" t="str">
        <f t="shared" si="0"/>
        <v/>
      </c>
      <c r="N39" s="32" t="str">
        <f t="shared" si="1"/>
        <v/>
      </c>
      <c r="O39" s="32" t="str">
        <f t="shared" si="2"/>
        <v/>
      </c>
      <c r="P39" s="33">
        <f t="shared" si="3"/>
        <v>0</v>
      </c>
      <c r="Q39" s="33">
        <f t="shared" si="4"/>
        <v>0</v>
      </c>
      <c r="R39" s="33">
        <f t="shared" si="5"/>
        <v>0</v>
      </c>
      <c r="S39" s="33">
        <f t="shared" si="6"/>
        <v>0</v>
      </c>
      <c r="T39" s="33">
        <f t="shared" si="7"/>
        <v>0</v>
      </c>
      <c r="U39" s="11"/>
    </row>
    <row r="40" spans="3:21" x14ac:dyDescent="0.3">
      <c r="C40" s="11" t="s">
        <v>76</v>
      </c>
      <c r="D40" s="30"/>
      <c r="E40" s="30"/>
      <c r="F40" s="30">
        <v>62.5</v>
      </c>
      <c r="G40" s="30">
        <v>62.5</v>
      </c>
      <c r="H40" s="31" t="s">
        <v>77</v>
      </c>
      <c r="I40" s="30">
        <v>1</v>
      </c>
      <c r="J40" s="30">
        <v>84</v>
      </c>
      <c r="K40" s="30"/>
      <c r="L40" s="30"/>
      <c r="M40" s="32" t="str">
        <f t="shared" si="0"/>
        <v/>
      </c>
      <c r="N40" s="32" t="str">
        <f>IF(ISBLANK(kg),"",IF(P40=Q40,CONCATENATE(ROUND(P40,2)," mg  "),CONCATENATE(ROUND(P40,2)," - ",ROUND(Q40,2)," mg  ")))</f>
        <v/>
      </c>
      <c r="O40" s="32" t="str">
        <f t="shared" si="2"/>
        <v/>
      </c>
      <c r="P40" s="33">
        <f t="shared" si="3"/>
        <v>62.5</v>
      </c>
      <c r="Q40" s="33">
        <f t="shared" si="4"/>
        <v>62.5</v>
      </c>
      <c r="R40" s="33" t="str">
        <f t="shared" si="5"/>
        <v/>
      </c>
      <c r="S40" s="33" t="str">
        <f t="shared" si="6"/>
        <v/>
      </c>
      <c r="T40" s="33">
        <f>Q40*I40</f>
        <v>62.5</v>
      </c>
      <c r="U40" s="11" t="s">
        <v>78</v>
      </c>
    </row>
    <row r="41" spans="3:21" x14ac:dyDescent="0.3">
      <c r="C41" s="11" t="s">
        <v>76</v>
      </c>
      <c r="D41" s="30"/>
      <c r="E41" s="30"/>
      <c r="F41" s="30">
        <v>125</v>
      </c>
      <c r="G41" s="30">
        <v>125</v>
      </c>
      <c r="H41" s="31" t="s">
        <v>77</v>
      </c>
      <c r="I41" s="30">
        <v>1</v>
      </c>
      <c r="J41" s="30">
        <v>84</v>
      </c>
      <c r="K41" s="30"/>
      <c r="L41" s="30"/>
      <c r="M41" s="32" t="str">
        <f t="shared" si="0"/>
        <v/>
      </c>
      <c r="N41" s="32" t="str">
        <f>IF(ISBLANK(kg),"",IF(P41=Q41,CONCATENATE(ROUND(P41,2)," mg  "),CONCATENATE(ROUND(P41,2)," - ",ROUND(Q41,2)," mg  ")))</f>
        <v/>
      </c>
      <c r="O41" s="32" t="str">
        <f t="shared" si="2"/>
        <v/>
      </c>
      <c r="P41" s="33">
        <f t="shared" si="3"/>
        <v>125</v>
      </c>
      <c r="Q41" s="33">
        <f t="shared" si="4"/>
        <v>125</v>
      </c>
      <c r="R41" s="33" t="str">
        <f t="shared" si="5"/>
        <v/>
      </c>
      <c r="S41" s="33" t="str">
        <f t="shared" si="6"/>
        <v/>
      </c>
      <c r="T41" s="33">
        <f>Q41*I41</f>
        <v>125</v>
      </c>
      <c r="U41" s="11" t="s">
        <v>79</v>
      </c>
    </row>
    <row r="42" spans="3:21" x14ac:dyDescent="0.3">
      <c r="C42" s="11" t="s">
        <v>76</v>
      </c>
      <c r="D42" s="30"/>
      <c r="E42" s="30"/>
      <c r="F42" s="30">
        <v>250</v>
      </c>
      <c r="G42" s="30">
        <v>250</v>
      </c>
      <c r="H42" s="31" t="s">
        <v>77</v>
      </c>
      <c r="I42" s="30">
        <v>1</v>
      </c>
      <c r="J42" s="30">
        <v>84</v>
      </c>
      <c r="K42" s="30"/>
      <c r="L42" s="30"/>
      <c r="M42" s="32" t="str">
        <f t="shared" si="0"/>
        <v/>
      </c>
      <c r="N42" s="32" t="str">
        <f>IF(ISBLANK(kg),"",IF(P42=Q42,CONCATENATE(ROUND(P42,2)," mg  "),CONCATENATE(ROUND(P42,2)," - ",ROUND(Q42,2)," mg  ")))</f>
        <v/>
      </c>
      <c r="O42" s="32" t="str">
        <f t="shared" si="2"/>
        <v/>
      </c>
      <c r="P42" s="33">
        <f t="shared" si="3"/>
        <v>250</v>
      </c>
      <c r="Q42" s="33">
        <f t="shared" si="4"/>
        <v>250</v>
      </c>
      <c r="R42" s="33" t="str">
        <f t="shared" si="5"/>
        <v/>
      </c>
      <c r="S42" s="33" t="str">
        <f t="shared" si="6"/>
        <v/>
      </c>
      <c r="T42" s="33">
        <f>Q42*I42</f>
        <v>250</v>
      </c>
      <c r="U42" s="11" t="s">
        <v>80</v>
      </c>
    </row>
    <row r="43" spans="3:21" x14ac:dyDescent="0.3">
      <c r="C43" s="11" t="s">
        <v>81</v>
      </c>
      <c r="D43" s="30">
        <v>40</v>
      </c>
      <c r="E43" s="30">
        <v>5</v>
      </c>
      <c r="F43" s="30">
        <v>3</v>
      </c>
      <c r="G43" s="30">
        <v>6</v>
      </c>
      <c r="H43" s="31" t="s">
        <v>42</v>
      </c>
      <c r="I43" s="30">
        <v>2</v>
      </c>
      <c r="J43" s="30"/>
      <c r="K43" s="30"/>
      <c r="L43" s="30"/>
      <c r="M43" s="32" t="str">
        <f t="shared" si="0"/>
        <v/>
      </c>
      <c r="N43" s="32" t="str">
        <f t="shared" si="1"/>
        <v/>
      </c>
      <c r="O43" s="32" t="str">
        <f t="shared" si="2"/>
        <v/>
      </c>
      <c r="P43" s="33">
        <f t="shared" si="3"/>
        <v>0</v>
      </c>
      <c r="Q43" s="33">
        <f t="shared" si="4"/>
        <v>0</v>
      </c>
      <c r="R43" s="33">
        <f t="shared" si="5"/>
        <v>0</v>
      </c>
      <c r="S43" s="33">
        <f t="shared" si="6"/>
        <v>0</v>
      </c>
      <c r="T43" s="33">
        <f t="shared" si="7"/>
        <v>0</v>
      </c>
      <c r="U43" s="11" t="s">
        <v>82</v>
      </c>
    </row>
    <row r="44" spans="3:21" x14ac:dyDescent="0.3">
      <c r="L44"/>
    </row>
    <row r="45" spans="3:21" x14ac:dyDescent="0.3">
      <c r="L45"/>
    </row>
  </sheetData>
  <sheetProtection sheet="1" sort="0" autoFilter="0" pivotTables="0"/>
  <conditionalFormatting sqref="B4">
    <cfRule type="expression" dxfId="101" priority="2">
      <formula>ISBLANK(kg)</formula>
    </cfRule>
  </conditionalFormatting>
  <conditionalFormatting sqref="T9:T43">
    <cfRule type="expression" dxfId="100" priority="1">
      <formula>AND(NOT(ISBLANK(L9)),T9&gt;L9)</formula>
    </cfRule>
  </conditionalFormatting>
  <dataValidations disablePrompts="1" count="8">
    <dataValidation allowBlank="1" showInputMessage="1" showErrorMessage="1" prompt="mg/kg" sqref="F9:G43" xr:uid="{00000000-0002-0000-0000-000000000000}"/>
    <dataValidation allowBlank="1" showInputMessage="1" showErrorMessage="1" prompt="mg/day" sqref="T9:T43" xr:uid="{00000000-0002-0000-0000-000001000000}"/>
    <dataValidation allowBlank="1" showInputMessage="1" showErrorMessage="1" prompt="days" sqref="J9:J43" xr:uid="{00000000-0002-0000-0000-000002000000}"/>
    <dataValidation allowBlank="1" showInputMessage="1" showErrorMessage="1" prompt="doses/day" sqref="I9:I43" xr:uid="{00000000-0002-0000-0000-000003000000}"/>
    <dataValidation allowBlank="1" showInputMessage="1" showErrorMessage="1" prompt="mL" sqref="E9:E43 R9:S43" xr:uid="{00000000-0002-0000-0000-000004000000}"/>
    <dataValidation allowBlank="1" showInputMessage="1" showErrorMessage="1" prompt="mg" sqref="D9:D43 K9:L43 P9:Q43" xr:uid="{00000000-0002-0000-0000-000005000000}"/>
    <dataValidation type="list" allowBlank="1" showInputMessage="1" showErrorMessage="1" sqref="H9:H43" xr:uid="{00000000-0002-0000-0000-000006000000}">
      <formula1>"mg/kg/dose,mg/kg/day,mg/dose"</formula1>
    </dataValidation>
    <dataValidation type="decimal" operator="greaterThan" allowBlank="1" showInputMessage="1" showErrorMessage="1" error="Please enter a number &gt; 0" sqref="B4" xr:uid="{00000000-0002-0000-0000-00000700000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et_dosing">
                <anchor>
                  <from>
                    <xdr:col>2</xdr:col>
                    <xdr:colOff>228600</xdr:colOff>
                    <xdr:row>2</xdr:row>
                    <xdr:rowOff>144780</xdr:rowOff>
                  </from>
                  <to>
                    <xdr:col>2</xdr:col>
                    <xdr:colOff>1203960</xdr:colOff>
                    <xdr:row>4</xdr:row>
                    <xdr:rowOff>53340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32"/>
  <sheetViews>
    <sheetView workbookViewId="0">
      <selection activeCell="B6" sqref="B6"/>
    </sheetView>
  </sheetViews>
  <sheetFormatPr defaultRowHeight="14.4" x14ac:dyDescent="0.3"/>
  <cols>
    <col min="1" max="1" width="21" customWidth="1"/>
    <col min="2" max="2" width="7" customWidth="1"/>
    <col min="3" max="3" width="21.5546875" customWidth="1"/>
    <col min="4" max="5" width="7" customWidth="1"/>
    <col min="6" max="6" width="7.21875" customWidth="1"/>
    <col min="7" max="7" width="7.44140625" customWidth="1"/>
    <col min="8" max="8" width="12.77734375" customWidth="1"/>
    <col min="9" max="9" width="12.5546875" customWidth="1"/>
    <col min="10" max="10" width="13.77734375" customWidth="1"/>
    <col min="11" max="11" width="13" hidden="1" customWidth="1"/>
    <col min="12" max="12" width="12.77734375" hidden="1" customWidth="1"/>
    <col min="13" max="13" width="13.5546875" hidden="1" customWidth="1"/>
    <col min="14" max="14" width="13.21875" hidden="1" customWidth="1"/>
    <col min="15" max="15" width="13.44140625" hidden="1" customWidth="1"/>
    <col min="16" max="16" width="10.77734375" hidden="1" customWidth="1"/>
    <col min="17" max="17" width="12.77734375" hidden="1" customWidth="1"/>
    <col min="18" max="18" width="11.21875" hidden="1" customWidth="1"/>
    <col min="19" max="19" width="13.21875" hidden="1" customWidth="1"/>
    <col min="20" max="20" width="12" hidden="1" customWidth="1"/>
    <col min="21" max="21" width="13.21875" customWidth="1"/>
    <col min="22" max="22" width="12.44140625" customWidth="1"/>
    <col min="23" max="24" width="13.21875" customWidth="1"/>
    <col min="25" max="25" width="11.5546875" customWidth="1"/>
    <col min="26" max="26" width="12.21875" customWidth="1"/>
    <col min="27" max="27" width="11.21875" customWidth="1"/>
    <col min="28" max="28" width="9.21875" customWidth="1"/>
  </cols>
  <sheetData>
    <row r="1" spans="1:25" ht="18" x14ac:dyDescent="0.35">
      <c r="A1" s="15"/>
      <c r="B1" s="13" t="s">
        <v>16</v>
      </c>
      <c r="C1" s="15"/>
      <c r="D1" s="15"/>
      <c r="E1" s="34" t="s">
        <v>83</v>
      </c>
      <c r="F1" s="8"/>
      <c r="G1" s="35"/>
      <c r="H1" s="8"/>
      <c r="I1" s="34"/>
      <c r="J1" s="34"/>
      <c r="K1" s="34"/>
      <c r="L1" s="34"/>
      <c r="M1" s="34"/>
      <c r="U1" s="8"/>
      <c r="V1" s="8"/>
      <c r="W1" s="8"/>
      <c r="X1" s="8"/>
      <c r="Y1" s="8"/>
    </row>
    <row r="2" spans="1:25" x14ac:dyDescent="0.3">
      <c r="A2" s="15"/>
      <c r="B2" s="17" t="s">
        <v>84</v>
      </c>
      <c r="C2" s="15"/>
      <c r="D2" s="15"/>
      <c r="E2" s="36"/>
      <c r="F2" s="37" t="s">
        <v>85</v>
      </c>
      <c r="G2" s="8"/>
      <c r="H2" s="34"/>
      <c r="I2" s="38"/>
      <c r="J2" s="38"/>
      <c r="K2" s="38"/>
      <c r="L2" s="38"/>
      <c r="M2" s="39"/>
      <c r="U2" s="8"/>
      <c r="V2" s="8"/>
      <c r="W2" s="8"/>
      <c r="X2" s="8"/>
      <c r="Y2" s="8"/>
    </row>
    <row r="3" spans="1:25" ht="15" thickBot="1" x14ac:dyDescent="0.35">
      <c r="A3" s="18"/>
      <c r="B3" s="18"/>
      <c r="C3" s="18"/>
      <c r="D3" s="18"/>
      <c r="E3" s="40"/>
      <c r="F3" s="41" t="s">
        <v>86</v>
      </c>
      <c r="G3" s="37"/>
      <c r="H3" s="8"/>
      <c r="I3" s="36"/>
      <c r="J3" s="42"/>
      <c r="K3" s="43"/>
      <c r="L3" s="44"/>
      <c r="M3" s="44"/>
      <c r="U3" s="8"/>
      <c r="V3" s="8"/>
      <c r="W3" s="8"/>
      <c r="X3" s="8"/>
      <c r="Y3" s="8"/>
    </row>
    <row r="4" spans="1:25" ht="15" thickBot="1" x14ac:dyDescent="0.35">
      <c r="A4" s="21" t="s">
        <v>19</v>
      </c>
      <c r="B4" s="22">
        <v>25.3</v>
      </c>
      <c r="C4" s="8"/>
      <c r="D4" s="8"/>
      <c r="E4" s="19"/>
      <c r="F4" s="41" t="s">
        <v>87</v>
      </c>
      <c r="G4" s="41"/>
      <c r="H4" s="19"/>
      <c r="I4" s="41"/>
      <c r="J4" s="15"/>
      <c r="K4" s="16"/>
      <c r="L4" s="16"/>
      <c r="M4" s="45"/>
      <c r="U4" s="8"/>
      <c r="V4" s="8"/>
      <c r="W4" s="8"/>
      <c r="X4" s="8"/>
      <c r="Y4" s="8"/>
    </row>
    <row r="5" spans="1:25" x14ac:dyDescent="0.3">
      <c r="A5" s="46" t="s">
        <v>88</v>
      </c>
      <c r="B5" s="47">
        <v>10</v>
      </c>
      <c r="C5" s="15"/>
      <c r="D5" s="15"/>
      <c r="E5" s="8"/>
      <c r="F5" s="41"/>
      <c r="G5" s="41"/>
      <c r="H5" s="19"/>
      <c r="I5" s="41"/>
      <c r="J5" s="15"/>
      <c r="K5" s="16"/>
      <c r="L5" s="16"/>
      <c r="M5" s="45"/>
      <c r="U5" s="8"/>
      <c r="V5" s="8"/>
      <c r="W5" s="8"/>
      <c r="X5" s="8"/>
      <c r="Y5" s="8"/>
    </row>
    <row r="6" spans="1:25" x14ac:dyDescent="0.3">
      <c r="A6" s="46" t="s">
        <v>89</v>
      </c>
      <c r="B6" s="48">
        <v>2</v>
      </c>
      <c r="C6" s="49" t="s">
        <v>90</v>
      </c>
      <c r="D6" s="50">
        <v>2.5000000000000001E-2</v>
      </c>
      <c r="E6" s="51">
        <v>0.05</v>
      </c>
      <c r="F6" s="18"/>
      <c r="G6" s="8"/>
      <c r="H6" s="23"/>
      <c r="I6" s="16"/>
      <c r="J6" s="16"/>
      <c r="K6" s="15"/>
      <c r="L6" s="15"/>
      <c r="M6" s="8"/>
      <c r="U6" s="8"/>
      <c r="V6" s="8"/>
      <c r="W6" s="8"/>
      <c r="X6" s="8"/>
      <c r="Y6" s="8"/>
    </row>
    <row r="7" spans="1:25" x14ac:dyDescent="0.3">
      <c r="A7" s="15"/>
      <c r="B7" s="15"/>
      <c r="C7" s="15"/>
      <c r="D7" s="52"/>
      <c r="E7" s="15"/>
      <c r="F7" s="15"/>
      <c r="G7" s="20"/>
      <c r="H7" s="14"/>
      <c r="I7" s="53"/>
      <c r="J7" s="16"/>
      <c r="K7" s="14"/>
      <c r="L7" s="15"/>
      <c r="M7" s="45"/>
      <c r="U7" s="8"/>
      <c r="V7" s="8"/>
      <c r="W7" s="8"/>
      <c r="X7" s="8"/>
      <c r="Y7" s="8"/>
    </row>
    <row r="8" spans="1:25" ht="30.75" customHeight="1" x14ac:dyDescent="0.3">
      <c r="C8" s="54" t="s">
        <v>20</v>
      </c>
      <c r="D8" s="54" t="s">
        <v>21</v>
      </c>
      <c r="E8" s="54" t="s">
        <v>22</v>
      </c>
      <c r="F8" s="55" t="s">
        <v>91</v>
      </c>
      <c r="G8" s="55" t="s">
        <v>92</v>
      </c>
      <c r="H8" s="55" t="s">
        <v>25</v>
      </c>
      <c r="I8" s="56" t="s">
        <v>93</v>
      </c>
      <c r="J8" s="57" t="s">
        <v>94</v>
      </c>
      <c r="K8" s="58" t="s">
        <v>95</v>
      </c>
      <c r="L8" s="58" t="s">
        <v>96</v>
      </c>
      <c r="M8" s="58" t="s">
        <v>97</v>
      </c>
      <c r="N8" s="58" t="s">
        <v>98</v>
      </c>
      <c r="O8" s="58" t="s">
        <v>99</v>
      </c>
      <c r="P8" s="58" t="s">
        <v>100</v>
      </c>
      <c r="Q8" s="58" t="s">
        <v>101</v>
      </c>
      <c r="R8" s="58" t="s">
        <v>102</v>
      </c>
      <c r="S8" s="58" t="s">
        <v>103</v>
      </c>
      <c r="T8" s="58" t="s">
        <v>104</v>
      </c>
    </row>
    <row r="9" spans="1:25" hidden="1" x14ac:dyDescent="0.3">
      <c r="C9" s="59" t="s">
        <v>38</v>
      </c>
      <c r="D9" s="60">
        <v>160</v>
      </c>
      <c r="E9" s="60">
        <v>5</v>
      </c>
      <c r="F9" s="30">
        <v>15</v>
      </c>
      <c r="G9" s="30">
        <v>15</v>
      </c>
      <c r="H9" s="61" t="s">
        <v>39</v>
      </c>
      <c r="I9" s="62">
        <f t="shared" ref="I9:I32" si="0">IF(OR(ISBLANK(kg),ISBLANK(dose),ISBLANK(freq),ISBLANK(D9),ISBLANK(E9)),"",(dose*(D9/E9))/kg)</f>
        <v>12.648221343873518</v>
      </c>
      <c r="J9" s="63">
        <f t="shared" ref="J9:J32" si="1">IF(OR(ISBLANK(kg),ISBLANK(I9)),"",IF(ISBLANK(freq),I9,I9*freq))</f>
        <v>25.296442687747035</v>
      </c>
      <c r="K9" s="64" t="str">
        <f t="shared" ref="K9:K32" si="2">IF(OR(M9="",N9=""),"",CONCATENATE(M9," - ",N9))</f>
        <v>14.63 - 15.38</v>
      </c>
      <c r="L9" s="64" t="str">
        <f t="shared" ref="L9:L32" si="3">IF(OR(O9="",P9=""),"",CONCATENATE(O9," - ",P9))</f>
        <v>14.25 - 15.75</v>
      </c>
      <c r="M9" s="64">
        <f t="shared" ref="M9:M32" si="4">ROUND(F9-(AVERAGE(F9,G9)*LIMIT1),2)</f>
        <v>14.63</v>
      </c>
      <c r="N9" s="64">
        <f t="shared" ref="N9:N32" si="5">ROUND(G9+(AVERAGE(F9,G9)*LIMIT1),2)</f>
        <v>15.38</v>
      </c>
      <c r="O9" s="64">
        <f t="shared" ref="O9:O32" si="6">ROUND(F9-(AVERAGE(F9,G9)*LIMIT2),2)</f>
        <v>14.25</v>
      </c>
      <c r="P9" s="64">
        <f t="shared" ref="P9:P32" si="7">ROUND(G9+(AVERAGE(F9,G9)*LIMIT2),2)</f>
        <v>15.75</v>
      </c>
      <c r="Q9" s="64" t="b">
        <f t="shared" ref="Q9:Q32" si="8">IF(OR(ISBLANK(kg),ISBLANK(dose),ISBLANK(freq)),"",IF(F9=G9,IF(H9="mg/kg/dose",IF(I9=G9,TRUE,FALSE),IF(J9=G9,TRUE,FALSE)),IF(H9="mg/kg/dose",IF(AND(I9&gt;=F9,I9&lt;=G9),TRUE,FALSE),IF(AND(J9&gt;=F9,J9&lt;=G9),TRUE,FALSE))))</f>
        <v>0</v>
      </c>
      <c r="R9" s="64" t="b">
        <f t="shared" ref="R9:R32" si="9">IF(OR(ISBLANK(kg),ISBLANK(dose),ISBLANK(freq),ISBLANK(LIMIT1)),"",IF(H9="mg/kg/dose",AND(NOT(Q9),I9&gt;=M9,I9&lt;=N9),AND(NOT(Q9),J9&gt;=M9,J9&lt;=N9)))</f>
        <v>0</v>
      </c>
      <c r="S9" s="64" t="b">
        <f t="shared" ref="S9:S32" si="10">IF(OR(ISBLANK(kg),ISBLANK(dose),ISBLANK(freq),ISBLANK(LIMIT2)),"",IF(H9="mg/kg/dose",AND(NOT(Q9),NOT(R9),I9&gt;=O9,I9&lt;=P9),AND(NOT(Q9),NOT(R9),J9&gt;=O9,J9&lt;=P9)))</f>
        <v>0</v>
      </c>
      <c r="T9" s="64" t="b">
        <f t="shared" ref="T9:T32" si="11">IF(OR(ISBLANK(kg),ISBLANK(dose),ISBLANK(freq),ISBLANK(LIMIT2)),"",IF(H9="mg/kg/dose",OR(I9&lt;O9,I9&gt;P9),OR(J9&lt;O9,J9&gt;P9)))</f>
        <v>1</v>
      </c>
    </row>
    <row r="10" spans="1:25" hidden="1" x14ac:dyDescent="0.3">
      <c r="C10" s="59" t="s">
        <v>41</v>
      </c>
      <c r="D10" s="60">
        <v>400</v>
      </c>
      <c r="E10" s="60">
        <v>5</v>
      </c>
      <c r="F10" s="30">
        <v>80</v>
      </c>
      <c r="G10" s="30">
        <v>90</v>
      </c>
      <c r="H10" s="61" t="s">
        <v>42</v>
      </c>
      <c r="I10" s="62">
        <f t="shared" si="0"/>
        <v>31.620553359683793</v>
      </c>
      <c r="J10" s="63">
        <f t="shared" si="1"/>
        <v>63.241106719367586</v>
      </c>
      <c r="K10" s="64" t="str">
        <f t="shared" si="2"/>
        <v>77.88 - 92.13</v>
      </c>
      <c r="L10" s="64" t="str">
        <f t="shared" si="3"/>
        <v>75.75 - 94.25</v>
      </c>
      <c r="M10" s="64">
        <f t="shared" si="4"/>
        <v>77.88</v>
      </c>
      <c r="N10" s="64">
        <f t="shared" si="5"/>
        <v>92.13</v>
      </c>
      <c r="O10" s="64">
        <f t="shared" si="6"/>
        <v>75.75</v>
      </c>
      <c r="P10" s="64">
        <f t="shared" si="7"/>
        <v>94.25</v>
      </c>
      <c r="Q10" s="64" t="b">
        <f t="shared" si="8"/>
        <v>0</v>
      </c>
      <c r="R10" s="64" t="b">
        <f t="shared" si="9"/>
        <v>0</v>
      </c>
      <c r="S10" s="64" t="b">
        <f t="shared" si="10"/>
        <v>0</v>
      </c>
      <c r="T10" s="64" t="b">
        <f t="shared" si="11"/>
        <v>1</v>
      </c>
    </row>
    <row r="11" spans="1:25" hidden="1" x14ac:dyDescent="0.3">
      <c r="C11" s="59" t="s">
        <v>41</v>
      </c>
      <c r="D11" s="60">
        <v>400</v>
      </c>
      <c r="E11" s="60">
        <v>5</v>
      </c>
      <c r="F11" s="30">
        <v>50</v>
      </c>
      <c r="G11" s="30">
        <v>50</v>
      </c>
      <c r="H11" s="61" t="s">
        <v>42</v>
      </c>
      <c r="I11" s="62">
        <f t="shared" si="0"/>
        <v>31.620553359683793</v>
      </c>
      <c r="J11" s="63">
        <f t="shared" si="1"/>
        <v>63.241106719367586</v>
      </c>
      <c r="K11" s="64" t="str">
        <f t="shared" si="2"/>
        <v>48.75 - 51.25</v>
      </c>
      <c r="L11" s="64" t="str">
        <f t="shared" si="3"/>
        <v>47.5 - 52.5</v>
      </c>
      <c r="M11" s="64">
        <f t="shared" si="4"/>
        <v>48.75</v>
      </c>
      <c r="N11" s="64">
        <f t="shared" si="5"/>
        <v>51.25</v>
      </c>
      <c r="O11" s="64">
        <f t="shared" si="6"/>
        <v>47.5</v>
      </c>
      <c r="P11" s="64">
        <f t="shared" si="7"/>
        <v>52.5</v>
      </c>
      <c r="Q11" s="64" t="b">
        <f t="shared" si="8"/>
        <v>0</v>
      </c>
      <c r="R11" s="64" t="b">
        <f t="shared" si="9"/>
        <v>0</v>
      </c>
      <c r="S11" s="64" t="b">
        <f t="shared" si="10"/>
        <v>0</v>
      </c>
      <c r="T11" s="64" t="b">
        <f t="shared" si="11"/>
        <v>1</v>
      </c>
    </row>
    <row r="12" spans="1:25" hidden="1" x14ac:dyDescent="0.3">
      <c r="C12" s="65" t="s">
        <v>45</v>
      </c>
      <c r="D12" s="66">
        <v>250</v>
      </c>
      <c r="E12" s="66">
        <v>5</v>
      </c>
      <c r="F12" s="30">
        <v>80</v>
      </c>
      <c r="G12" s="30">
        <v>90</v>
      </c>
      <c r="H12" s="61" t="s">
        <v>42</v>
      </c>
      <c r="I12" s="67">
        <f t="shared" si="0"/>
        <v>19.762845849802371</v>
      </c>
      <c r="J12" s="68">
        <f t="shared" si="1"/>
        <v>39.525691699604742</v>
      </c>
      <c r="K12" s="69" t="str">
        <f t="shared" si="2"/>
        <v>77.88 - 92.13</v>
      </c>
      <c r="L12" s="69" t="str">
        <f t="shared" si="3"/>
        <v>75.75 - 94.25</v>
      </c>
      <c r="M12" s="69">
        <f t="shared" si="4"/>
        <v>77.88</v>
      </c>
      <c r="N12" s="69">
        <f t="shared" si="5"/>
        <v>92.13</v>
      </c>
      <c r="O12" s="69">
        <f t="shared" si="6"/>
        <v>75.75</v>
      </c>
      <c r="P12" s="69">
        <f t="shared" si="7"/>
        <v>94.25</v>
      </c>
      <c r="Q12" s="69" t="b">
        <f t="shared" si="8"/>
        <v>0</v>
      </c>
      <c r="R12" s="69" t="b">
        <f t="shared" si="9"/>
        <v>0</v>
      </c>
      <c r="S12" s="69" t="b">
        <f t="shared" si="10"/>
        <v>0</v>
      </c>
      <c r="T12" s="69" t="b">
        <f t="shared" si="11"/>
        <v>1</v>
      </c>
    </row>
    <row r="13" spans="1:25" hidden="1" x14ac:dyDescent="0.3">
      <c r="C13" s="59" t="s">
        <v>45</v>
      </c>
      <c r="D13" s="60">
        <v>400</v>
      </c>
      <c r="E13" s="60">
        <v>5</v>
      </c>
      <c r="F13" s="30">
        <v>45</v>
      </c>
      <c r="G13" s="30">
        <v>45</v>
      </c>
      <c r="H13" s="61" t="s">
        <v>42</v>
      </c>
      <c r="I13" s="62">
        <f t="shared" si="0"/>
        <v>31.620553359683793</v>
      </c>
      <c r="J13" s="63">
        <f t="shared" si="1"/>
        <v>63.241106719367586</v>
      </c>
      <c r="K13" s="64" t="str">
        <f t="shared" si="2"/>
        <v>43.88 - 46.13</v>
      </c>
      <c r="L13" s="64" t="str">
        <f t="shared" si="3"/>
        <v>42.75 - 47.25</v>
      </c>
      <c r="M13" s="64">
        <f t="shared" si="4"/>
        <v>43.88</v>
      </c>
      <c r="N13" s="64">
        <f t="shared" si="5"/>
        <v>46.13</v>
      </c>
      <c r="O13" s="64">
        <f t="shared" si="6"/>
        <v>42.75</v>
      </c>
      <c r="P13" s="64">
        <f t="shared" si="7"/>
        <v>47.25</v>
      </c>
      <c r="Q13" s="64" t="b">
        <f t="shared" si="8"/>
        <v>0</v>
      </c>
      <c r="R13" s="64" t="b">
        <f t="shared" si="9"/>
        <v>0</v>
      </c>
      <c r="S13" s="64" t="b">
        <f t="shared" si="10"/>
        <v>0</v>
      </c>
      <c r="T13" s="64" t="b">
        <f t="shared" si="11"/>
        <v>1</v>
      </c>
    </row>
    <row r="14" spans="1:25" hidden="1" x14ac:dyDescent="0.3">
      <c r="C14" s="59" t="s">
        <v>45</v>
      </c>
      <c r="D14" s="60">
        <v>600</v>
      </c>
      <c r="E14" s="60">
        <v>5</v>
      </c>
      <c r="F14" s="30">
        <v>80</v>
      </c>
      <c r="G14" s="30">
        <v>90</v>
      </c>
      <c r="H14" s="61" t="s">
        <v>42</v>
      </c>
      <c r="I14" s="62">
        <f t="shared" si="0"/>
        <v>47.430830039525688</v>
      </c>
      <c r="J14" s="63">
        <f t="shared" si="1"/>
        <v>94.861660079051376</v>
      </c>
      <c r="K14" s="64" t="str">
        <f t="shared" si="2"/>
        <v>77.88 - 92.13</v>
      </c>
      <c r="L14" s="64" t="str">
        <f t="shared" si="3"/>
        <v>75.75 - 94.25</v>
      </c>
      <c r="M14" s="64">
        <f t="shared" si="4"/>
        <v>77.88</v>
      </c>
      <c r="N14" s="64">
        <f t="shared" si="5"/>
        <v>92.13</v>
      </c>
      <c r="O14" s="64">
        <f t="shared" si="6"/>
        <v>75.75</v>
      </c>
      <c r="P14" s="64">
        <f t="shared" si="7"/>
        <v>94.25</v>
      </c>
      <c r="Q14" s="64" t="b">
        <f t="shared" si="8"/>
        <v>0</v>
      </c>
      <c r="R14" s="64" t="b">
        <f t="shared" si="9"/>
        <v>0</v>
      </c>
      <c r="S14" s="64" t="b">
        <f t="shared" si="10"/>
        <v>0</v>
      </c>
      <c r="T14" s="64" t="b">
        <f t="shared" si="11"/>
        <v>1</v>
      </c>
    </row>
    <row r="15" spans="1:25" hidden="1" x14ac:dyDescent="0.3">
      <c r="C15" s="59" t="s">
        <v>105</v>
      </c>
      <c r="D15" s="60">
        <v>200</v>
      </c>
      <c r="E15" s="60">
        <v>5</v>
      </c>
      <c r="F15" s="30">
        <v>10</v>
      </c>
      <c r="G15" s="30">
        <v>10</v>
      </c>
      <c r="H15" s="61" t="s">
        <v>42</v>
      </c>
      <c r="I15" s="62">
        <f t="shared" si="0"/>
        <v>15.810276679841897</v>
      </c>
      <c r="J15" s="63">
        <f t="shared" si="1"/>
        <v>31.620553359683793</v>
      </c>
      <c r="K15" s="64" t="str">
        <f t="shared" si="2"/>
        <v>9.75 - 10.25</v>
      </c>
      <c r="L15" s="64" t="str">
        <f t="shared" si="3"/>
        <v>9.5 - 10.5</v>
      </c>
      <c r="M15" s="64">
        <f t="shared" si="4"/>
        <v>9.75</v>
      </c>
      <c r="N15" s="64">
        <f t="shared" si="5"/>
        <v>10.25</v>
      </c>
      <c r="O15" s="64">
        <f t="shared" si="6"/>
        <v>9.5</v>
      </c>
      <c r="P15" s="64">
        <f t="shared" si="7"/>
        <v>10.5</v>
      </c>
      <c r="Q15" s="64" t="b">
        <f t="shared" si="8"/>
        <v>0</v>
      </c>
      <c r="R15" s="64" t="b">
        <f t="shared" si="9"/>
        <v>0</v>
      </c>
      <c r="S15" s="64" t="b">
        <f t="shared" si="10"/>
        <v>0</v>
      </c>
      <c r="T15" s="64" t="b">
        <f t="shared" si="11"/>
        <v>1</v>
      </c>
    </row>
    <row r="16" spans="1:25" hidden="1" x14ac:dyDescent="0.3">
      <c r="C16" s="59" t="s">
        <v>106</v>
      </c>
      <c r="D16" s="60">
        <v>200</v>
      </c>
      <c r="E16" s="60">
        <v>5</v>
      </c>
      <c r="F16" s="30">
        <v>5</v>
      </c>
      <c r="G16" s="30">
        <v>5</v>
      </c>
      <c r="H16" s="61" t="s">
        <v>42</v>
      </c>
      <c r="I16" s="62">
        <f t="shared" si="0"/>
        <v>15.810276679841897</v>
      </c>
      <c r="J16" s="63">
        <f t="shared" si="1"/>
        <v>31.620553359683793</v>
      </c>
      <c r="K16" s="64" t="str">
        <f t="shared" si="2"/>
        <v>4.88 - 5.13</v>
      </c>
      <c r="L16" s="64" t="str">
        <f t="shared" si="3"/>
        <v>4.75 - 5.25</v>
      </c>
      <c r="M16" s="64">
        <f t="shared" si="4"/>
        <v>4.88</v>
      </c>
      <c r="N16" s="64">
        <f t="shared" si="5"/>
        <v>5.13</v>
      </c>
      <c r="O16" s="64">
        <f t="shared" si="6"/>
        <v>4.75</v>
      </c>
      <c r="P16" s="64">
        <f t="shared" si="7"/>
        <v>5.25</v>
      </c>
      <c r="Q16" s="64" t="b">
        <f t="shared" si="8"/>
        <v>0</v>
      </c>
      <c r="R16" s="64" t="b">
        <f t="shared" si="9"/>
        <v>0</v>
      </c>
      <c r="S16" s="64" t="b">
        <f t="shared" si="10"/>
        <v>0</v>
      </c>
      <c r="T16" s="64" t="b">
        <f t="shared" si="11"/>
        <v>1</v>
      </c>
    </row>
    <row r="17" spans="3:20" hidden="1" x14ac:dyDescent="0.3">
      <c r="C17" s="59" t="s">
        <v>50</v>
      </c>
      <c r="D17" s="60">
        <v>250</v>
      </c>
      <c r="E17" s="60">
        <v>5</v>
      </c>
      <c r="F17" s="30">
        <v>14</v>
      </c>
      <c r="G17" s="30">
        <v>14</v>
      </c>
      <c r="H17" s="61" t="s">
        <v>42</v>
      </c>
      <c r="I17" s="62">
        <f t="shared" si="0"/>
        <v>19.762845849802371</v>
      </c>
      <c r="J17" s="63">
        <f t="shared" si="1"/>
        <v>39.525691699604742</v>
      </c>
      <c r="K17" s="64" t="str">
        <f t="shared" si="2"/>
        <v>13.65 - 14.35</v>
      </c>
      <c r="L17" s="64" t="str">
        <f t="shared" si="3"/>
        <v>13.3 - 14.7</v>
      </c>
      <c r="M17" s="64">
        <f t="shared" si="4"/>
        <v>13.65</v>
      </c>
      <c r="N17" s="64">
        <f t="shared" si="5"/>
        <v>14.35</v>
      </c>
      <c r="O17" s="64">
        <f t="shared" si="6"/>
        <v>13.3</v>
      </c>
      <c r="P17" s="64">
        <f t="shared" si="7"/>
        <v>14.7</v>
      </c>
      <c r="Q17" s="64" t="b">
        <f t="shared" si="8"/>
        <v>0</v>
      </c>
      <c r="R17" s="64" t="b">
        <f t="shared" si="9"/>
        <v>0</v>
      </c>
      <c r="S17" s="64" t="b">
        <f t="shared" si="10"/>
        <v>0</v>
      </c>
      <c r="T17" s="64" t="b">
        <f t="shared" si="11"/>
        <v>1</v>
      </c>
    </row>
    <row r="18" spans="3:20" x14ac:dyDescent="0.3">
      <c r="C18" s="59" t="s">
        <v>52</v>
      </c>
      <c r="D18" s="60">
        <v>250</v>
      </c>
      <c r="E18" s="60">
        <v>5</v>
      </c>
      <c r="F18" s="30">
        <v>40</v>
      </c>
      <c r="G18" s="30">
        <v>40</v>
      </c>
      <c r="H18" s="61" t="s">
        <v>42</v>
      </c>
      <c r="I18" s="62">
        <f t="shared" si="0"/>
        <v>19.762845849802371</v>
      </c>
      <c r="J18" s="63">
        <f t="shared" si="1"/>
        <v>39.525691699604742</v>
      </c>
      <c r="K18" s="64" t="str">
        <f t="shared" si="2"/>
        <v>39 - 41</v>
      </c>
      <c r="L18" s="64" t="str">
        <f t="shared" si="3"/>
        <v>38 - 42</v>
      </c>
      <c r="M18" s="64">
        <f t="shared" si="4"/>
        <v>39</v>
      </c>
      <c r="N18" s="64">
        <f t="shared" si="5"/>
        <v>41</v>
      </c>
      <c r="O18" s="64">
        <f t="shared" si="6"/>
        <v>38</v>
      </c>
      <c r="P18" s="64">
        <f t="shared" si="7"/>
        <v>42</v>
      </c>
      <c r="Q18" s="64" t="b">
        <f t="shared" si="8"/>
        <v>0</v>
      </c>
      <c r="R18" s="64" t="b">
        <f t="shared" si="9"/>
        <v>1</v>
      </c>
      <c r="S18" s="64" t="b">
        <f t="shared" si="10"/>
        <v>0</v>
      </c>
      <c r="T18" s="64" t="b">
        <f t="shared" si="11"/>
        <v>0</v>
      </c>
    </row>
    <row r="19" spans="3:20" hidden="1" x14ac:dyDescent="0.3">
      <c r="C19" s="59" t="s">
        <v>55</v>
      </c>
      <c r="D19" s="60">
        <v>250</v>
      </c>
      <c r="E19" s="60">
        <v>5</v>
      </c>
      <c r="F19" s="30">
        <v>20</v>
      </c>
      <c r="G19" s="30">
        <v>30</v>
      </c>
      <c r="H19" s="61" t="s">
        <v>42</v>
      </c>
      <c r="I19" s="62">
        <f t="shared" si="0"/>
        <v>19.762845849802371</v>
      </c>
      <c r="J19" s="63">
        <f t="shared" si="1"/>
        <v>39.525691699604742</v>
      </c>
      <c r="K19" s="64" t="str">
        <f t="shared" si="2"/>
        <v>19.38 - 30.63</v>
      </c>
      <c r="L19" s="64" t="str">
        <f t="shared" si="3"/>
        <v>18.75 - 31.25</v>
      </c>
      <c r="M19" s="64">
        <f t="shared" si="4"/>
        <v>19.38</v>
      </c>
      <c r="N19" s="64">
        <f t="shared" si="5"/>
        <v>30.63</v>
      </c>
      <c r="O19" s="64">
        <f t="shared" si="6"/>
        <v>18.75</v>
      </c>
      <c r="P19" s="64">
        <f t="shared" si="7"/>
        <v>31.25</v>
      </c>
      <c r="Q19" s="64" t="b">
        <f t="shared" si="8"/>
        <v>0</v>
      </c>
      <c r="R19" s="64" t="b">
        <f t="shared" si="9"/>
        <v>0</v>
      </c>
      <c r="S19" s="64" t="b">
        <f t="shared" si="10"/>
        <v>0</v>
      </c>
      <c r="T19" s="64" t="b">
        <f t="shared" si="11"/>
        <v>1</v>
      </c>
    </row>
    <row r="20" spans="3:20" hidden="1" x14ac:dyDescent="0.3">
      <c r="C20" s="59" t="s">
        <v>57</v>
      </c>
      <c r="D20" s="60">
        <v>75</v>
      </c>
      <c r="E20" s="60">
        <v>5</v>
      </c>
      <c r="F20" s="30">
        <v>20</v>
      </c>
      <c r="G20" s="30">
        <v>40</v>
      </c>
      <c r="H20" s="61" t="s">
        <v>42</v>
      </c>
      <c r="I20" s="62">
        <f t="shared" si="0"/>
        <v>5.928853754940711</v>
      </c>
      <c r="J20" s="63">
        <f t="shared" si="1"/>
        <v>11.857707509881422</v>
      </c>
      <c r="K20" s="64" t="str">
        <f t="shared" si="2"/>
        <v>19.25 - 40.75</v>
      </c>
      <c r="L20" s="64" t="str">
        <f t="shared" si="3"/>
        <v>18.5 - 41.5</v>
      </c>
      <c r="M20" s="64">
        <f t="shared" si="4"/>
        <v>19.25</v>
      </c>
      <c r="N20" s="64">
        <f t="shared" si="5"/>
        <v>40.75</v>
      </c>
      <c r="O20" s="64">
        <f t="shared" si="6"/>
        <v>18.5</v>
      </c>
      <c r="P20" s="64">
        <f t="shared" si="7"/>
        <v>41.5</v>
      </c>
      <c r="Q20" s="64" t="b">
        <f t="shared" si="8"/>
        <v>0</v>
      </c>
      <c r="R20" s="64" t="b">
        <f t="shared" si="9"/>
        <v>0</v>
      </c>
      <c r="S20" s="64" t="b">
        <f t="shared" si="10"/>
        <v>0</v>
      </c>
      <c r="T20" s="64" t="b">
        <f t="shared" si="11"/>
        <v>1</v>
      </c>
    </row>
    <row r="21" spans="3:20" hidden="1" x14ac:dyDescent="0.3">
      <c r="C21" s="59" t="s">
        <v>59</v>
      </c>
      <c r="D21" s="60">
        <v>4</v>
      </c>
      <c r="E21" s="60">
        <v>1</v>
      </c>
      <c r="F21" s="30">
        <v>0.6</v>
      </c>
      <c r="G21" s="30">
        <v>0.6</v>
      </c>
      <c r="H21" s="61" t="s">
        <v>39</v>
      </c>
      <c r="I21" s="62">
        <f t="shared" si="0"/>
        <v>1.5810276679841897</v>
      </c>
      <c r="J21" s="63">
        <f t="shared" si="1"/>
        <v>3.1620553359683794</v>
      </c>
      <c r="K21" s="64" t="str">
        <f t="shared" si="2"/>
        <v>0.59 - 0.62</v>
      </c>
      <c r="L21" s="64" t="str">
        <f t="shared" si="3"/>
        <v>0.57 - 0.63</v>
      </c>
      <c r="M21" s="64">
        <f t="shared" si="4"/>
        <v>0.59</v>
      </c>
      <c r="N21" s="64">
        <f t="shared" si="5"/>
        <v>0.62</v>
      </c>
      <c r="O21" s="64">
        <f t="shared" si="6"/>
        <v>0.56999999999999995</v>
      </c>
      <c r="P21" s="64">
        <f t="shared" si="7"/>
        <v>0.63</v>
      </c>
      <c r="Q21" s="64" t="b">
        <f t="shared" si="8"/>
        <v>0</v>
      </c>
      <c r="R21" s="64" t="b">
        <f t="shared" si="9"/>
        <v>0</v>
      </c>
      <c r="S21" s="64" t="b">
        <f t="shared" si="10"/>
        <v>0</v>
      </c>
      <c r="T21" s="64" t="b">
        <f t="shared" si="11"/>
        <v>1</v>
      </c>
    </row>
    <row r="22" spans="3:20" hidden="1" x14ac:dyDescent="0.3">
      <c r="C22" s="59" t="s">
        <v>60</v>
      </c>
      <c r="D22" s="60">
        <v>12.5</v>
      </c>
      <c r="E22" s="60">
        <v>5</v>
      </c>
      <c r="F22" s="30">
        <v>1</v>
      </c>
      <c r="G22" s="30">
        <v>2</v>
      </c>
      <c r="H22" s="61" t="s">
        <v>39</v>
      </c>
      <c r="I22" s="62">
        <f t="shared" si="0"/>
        <v>0.98814229249011853</v>
      </c>
      <c r="J22" s="63">
        <f t="shared" si="1"/>
        <v>1.9762845849802371</v>
      </c>
      <c r="K22" s="64" t="str">
        <f t="shared" si="2"/>
        <v>0.96 - 2.04</v>
      </c>
      <c r="L22" s="64" t="str">
        <f t="shared" si="3"/>
        <v>0.93 - 2.08</v>
      </c>
      <c r="M22" s="64">
        <f t="shared" si="4"/>
        <v>0.96</v>
      </c>
      <c r="N22" s="64">
        <f t="shared" si="5"/>
        <v>2.04</v>
      </c>
      <c r="O22" s="64">
        <f t="shared" si="6"/>
        <v>0.93</v>
      </c>
      <c r="P22" s="64">
        <f t="shared" si="7"/>
        <v>2.08</v>
      </c>
      <c r="Q22" s="64" t="b">
        <f t="shared" si="8"/>
        <v>0</v>
      </c>
      <c r="R22" s="64" t="b">
        <f t="shared" si="9"/>
        <v>1</v>
      </c>
      <c r="S22" s="64" t="b">
        <f t="shared" si="10"/>
        <v>0</v>
      </c>
      <c r="T22" s="64" t="b">
        <f t="shared" si="11"/>
        <v>0</v>
      </c>
    </row>
    <row r="23" spans="3:20" hidden="1" x14ac:dyDescent="0.3">
      <c r="C23" s="59" t="s">
        <v>61</v>
      </c>
      <c r="D23" s="60">
        <v>10</v>
      </c>
      <c r="E23" s="60">
        <v>1</v>
      </c>
      <c r="F23" s="30">
        <v>5</v>
      </c>
      <c r="G23" s="30">
        <v>5</v>
      </c>
      <c r="H23" s="61" t="s">
        <v>39</v>
      </c>
      <c r="I23" s="62">
        <f t="shared" si="0"/>
        <v>3.9525691699604741</v>
      </c>
      <c r="J23" s="63">
        <f t="shared" si="1"/>
        <v>7.9051383399209483</v>
      </c>
      <c r="K23" s="64" t="str">
        <f t="shared" si="2"/>
        <v>4.88 - 5.13</v>
      </c>
      <c r="L23" s="64" t="str">
        <f t="shared" si="3"/>
        <v>4.75 - 5.25</v>
      </c>
      <c r="M23" s="64">
        <f t="shared" si="4"/>
        <v>4.88</v>
      </c>
      <c r="N23" s="64">
        <f t="shared" si="5"/>
        <v>5.13</v>
      </c>
      <c r="O23" s="64">
        <f t="shared" si="6"/>
        <v>4.75</v>
      </c>
      <c r="P23" s="64">
        <f t="shared" si="7"/>
        <v>5.25</v>
      </c>
      <c r="Q23" s="64" t="b">
        <f t="shared" si="8"/>
        <v>0</v>
      </c>
      <c r="R23" s="64" t="b">
        <f t="shared" si="9"/>
        <v>0</v>
      </c>
      <c r="S23" s="64" t="b">
        <f t="shared" si="10"/>
        <v>0</v>
      </c>
      <c r="T23" s="64" t="b">
        <f t="shared" si="11"/>
        <v>1</v>
      </c>
    </row>
    <row r="24" spans="3:20" hidden="1" x14ac:dyDescent="0.3">
      <c r="C24" s="59" t="s">
        <v>63</v>
      </c>
      <c r="D24" s="60">
        <v>15</v>
      </c>
      <c r="E24" s="60">
        <v>1</v>
      </c>
      <c r="F24" s="30">
        <v>3</v>
      </c>
      <c r="G24" s="30">
        <v>6</v>
      </c>
      <c r="H24" s="61" t="s">
        <v>42</v>
      </c>
      <c r="I24" s="62">
        <f t="shared" si="0"/>
        <v>5.928853754940711</v>
      </c>
      <c r="J24" s="63">
        <f t="shared" si="1"/>
        <v>11.857707509881422</v>
      </c>
      <c r="K24" s="64" t="str">
        <f t="shared" si="2"/>
        <v>2.89 - 6.11</v>
      </c>
      <c r="L24" s="64" t="str">
        <f t="shared" si="3"/>
        <v>2.78 - 6.23</v>
      </c>
      <c r="M24" s="64">
        <f t="shared" si="4"/>
        <v>2.89</v>
      </c>
      <c r="N24" s="64">
        <f t="shared" si="5"/>
        <v>6.11</v>
      </c>
      <c r="O24" s="64">
        <f t="shared" si="6"/>
        <v>2.78</v>
      </c>
      <c r="P24" s="64">
        <f t="shared" si="7"/>
        <v>6.23</v>
      </c>
      <c r="Q24" s="64" t="b">
        <f t="shared" si="8"/>
        <v>0</v>
      </c>
      <c r="R24" s="64" t="b">
        <f t="shared" si="9"/>
        <v>0</v>
      </c>
      <c r="S24" s="64" t="b">
        <f t="shared" si="10"/>
        <v>0</v>
      </c>
      <c r="T24" s="64" t="b">
        <f t="shared" si="11"/>
        <v>1</v>
      </c>
    </row>
    <row r="25" spans="3:20" hidden="1" x14ac:dyDescent="0.3">
      <c r="C25" s="59" t="s">
        <v>65</v>
      </c>
      <c r="D25" s="60">
        <v>125</v>
      </c>
      <c r="E25" s="60">
        <v>5</v>
      </c>
      <c r="F25" s="30">
        <v>20</v>
      </c>
      <c r="G25" s="30">
        <v>25</v>
      </c>
      <c r="H25" s="61" t="s">
        <v>42</v>
      </c>
      <c r="I25" s="62">
        <f t="shared" si="0"/>
        <v>9.8814229249011856</v>
      </c>
      <c r="J25" s="63">
        <f t="shared" si="1"/>
        <v>19.762845849802371</v>
      </c>
      <c r="K25" s="64" t="str">
        <f t="shared" si="2"/>
        <v>19.44 - 25.56</v>
      </c>
      <c r="L25" s="64" t="str">
        <f t="shared" si="3"/>
        <v>18.88 - 26.13</v>
      </c>
      <c r="M25" s="64">
        <f t="shared" si="4"/>
        <v>19.440000000000001</v>
      </c>
      <c r="N25" s="64">
        <f t="shared" si="5"/>
        <v>25.56</v>
      </c>
      <c r="O25" s="64">
        <f t="shared" si="6"/>
        <v>18.88</v>
      </c>
      <c r="P25" s="64">
        <f t="shared" si="7"/>
        <v>26.13</v>
      </c>
      <c r="Q25" s="64" t="b">
        <f t="shared" si="8"/>
        <v>0</v>
      </c>
      <c r="R25" s="64" t="b">
        <f t="shared" si="9"/>
        <v>1</v>
      </c>
      <c r="S25" s="64" t="b">
        <f t="shared" si="10"/>
        <v>0</v>
      </c>
      <c r="T25" s="64" t="b">
        <f t="shared" si="11"/>
        <v>0</v>
      </c>
    </row>
    <row r="26" spans="3:20" hidden="1" x14ac:dyDescent="0.3">
      <c r="C26" s="59" t="s">
        <v>66</v>
      </c>
      <c r="D26" s="60">
        <v>10</v>
      </c>
      <c r="E26" s="60">
        <v>5</v>
      </c>
      <c r="F26" s="30">
        <v>0.5</v>
      </c>
      <c r="G26" s="30">
        <v>1</v>
      </c>
      <c r="H26" s="61" t="s">
        <v>39</v>
      </c>
      <c r="I26" s="62">
        <f t="shared" si="0"/>
        <v>0.79051383399209485</v>
      </c>
      <c r="J26" s="63">
        <f t="shared" si="1"/>
        <v>1.5810276679841897</v>
      </c>
      <c r="K26" s="64" t="str">
        <f t="shared" si="2"/>
        <v>0.48 - 1.02</v>
      </c>
      <c r="L26" s="64" t="str">
        <f t="shared" si="3"/>
        <v>0.46 - 1.04</v>
      </c>
      <c r="M26" s="64">
        <f t="shared" si="4"/>
        <v>0.48</v>
      </c>
      <c r="N26" s="64">
        <f t="shared" si="5"/>
        <v>1.02</v>
      </c>
      <c r="O26" s="64">
        <f t="shared" si="6"/>
        <v>0.46</v>
      </c>
      <c r="P26" s="64">
        <f t="shared" si="7"/>
        <v>1.04</v>
      </c>
      <c r="Q26" s="64" t="b">
        <f t="shared" si="8"/>
        <v>1</v>
      </c>
      <c r="R26" s="64" t="b">
        <f t="shared" si="9"/>
        <v>0</v>
      </c>
      <c r="S26" s="64" t="b">
        <f t="shared" si="10"/>
        <v>0</v>
      </c>
      <c r="T26" s="64" t="b">
        <f t="shared" si="11"/>
        <v>0</v>
      </c>
    </row>
    <row r="27" spans="3:20" hidden="1" x14ac:dyDescent="0.3">
      <c r="C27" s="59" t="s">
        <v>67</v>
      </c>
      <c r="D27" s="60">
        <v>100</v>
      </c>
      <c r="E27" s="60">
        <v>5</v>
      </c>
      <c r="F27" s="30">
        <v>10</v>
      </c>
      <c r="G27" s="30">
        <v>10</v>
      </c>
      <c r="H27" s="61" t="s">
        <v>39</v>
      </c>
      <c r="I27" s="62">
        <f t="shared" si="0"/>
        <v>7.9051383399209483</v>
      </c>
      <c r="J27" s="63">
        <f t="shared" si="1"/>
        <v>15.810276679841897</v>
      </c>
      <c r="K27" s="64" t="str">
        <f t="shared" si="2"/>
        <v>9.75 - 10.25</v>
      </c>
      <c r="L27" s="64" t="str">
        <f t="shared" si="3"/>
        <v>9.5 - 10.5</v>
      </c>
      <c r="M27" s="64">
        <f t="shared" si="4"/>
        <v>9.75</v>
      </c>
      <c r="N27" s="64">
        <f t="shared" si="5"/>
        <v>10.25</v>
      </c>
      <c r="O27" s="64">
        <f t="shared" si="6"/>
        <v>9.5</v>
      </c>
      <c r="P27" s="64">
        <f t="shared" si="7"/>
        <v>10.5</v>
      </c>
      <c r="Q27" s="64" t="b">
        <f t="shared" si="8"/>
        <v>0</v>
      </c>
      <c r="R27" s="64" t="b">
        <f t="shared" si="9"/>
        <v>0</v>
      </c>
      <c r="S27" s="64" t="b">
        <f t="shared" si="10"/>
        <v>0</v>
      </c>
      <c r="T27" s="64" t="b">
        <f t="shared" si="11"/>
        <v>1</v>
      </c>
    </row>
    <row r="28" spans="3:20" hidden="1" x14ac:dyDescent="0.3">
      <c r="C28" s="65" t="s">
        <v>68</v>
      </c>
      <c r="D28" s="66">
        <v>50</v>
      </c>
      <c r="E28" s="66">
        <v>5</v>
      </c>
      <c r="F28" s="30">
        <v>10</v>
      </c>
      <c r="G28" s="30">
        <v>20</v>
      </c>
      <c r="H28" s="61" t="s">
        <v>42</v>
      </c>
      <c r="I28" s="67">
        <f t="shared" si="0"/>
        <v>3.9525691699604741</v>
      </c>
      <c r="J28" s="68">
        <f t="shared" si="1"/>
        <v>7.9051383399209483</v>
      </c>
      <c r="K28" s="69" t="str">
        <f t="shared" si="2"/>
        <v>9.63 - 20.38</v>
      </c>
      <c r="L28" s="69" t="str">
        <f t="shared" si="3"/>
        <v>9.25 - 20.75</v>
      </c>
      <c r="M28" s="69">
        <f t="shared" si="4"/>
        <v>9.6300000000000008</v>
      </c>
      <c r="N28" s="69">
        <f t="shared" si="5"/>
        <v>20.38</v>
      </c>
      <c r="O28" s="69">
        <f t="shared" si="6"/>
        <v>9.25</v>
      </c>
      <c r="P28" s="69">
        <f t="shared" si="7"/>
        <v>20.75</v>
      </c>
      <c r="Q28" s="69" t="b">
        <f t="shared" si="8"/>
        <v>0</v>
      </c>
      <c r="R28" s="69" t="b">
        <f t="shared" si="9"/>
        <v>0</v>
      </c>
      <c r="S28" s="69" t="b">
        <f t="shared" si="10"/>
        <v>0</v>
      </c>
      <c r="T28" s="69" t="b">
        <f t="shared" si="11"/>
        <v>1</v>
      </c>
    </row>
    <row r="29" spans="3:20" hidden="1" x14ac:dyDescent="0.3">
      <c r="C29" s="59" t="s">
        <v>107</v>
      </c>
      <c r="D29" s="60">
        <v>0.8</v>
      </c>
      <c r="E29" s="60">
        <v>1</v>
      </c>
      <c r="F29" s="30">
        <v>0.15</v>
      </c>
      <c r="G29" s="30">
        <v>0.15</v>
      </c>
      <c r="H29" s="61" t="s">
        <v>39</v>
      </c>
      <c r="I29" s="62">
        <f t="shared" si="0"/>
        <v>0.31620553359683795</v>
      </c>
      <c r="J29" s="63">
        <f t="shared" si="1"/>
        <v>0.6324110671936759</v>
      </c>
      <c r="K29" s="64" t="str">
        <f t="shared" si="2"/>
        <v>0.15 - 0.15</v>
      </c>
      <c r="L29" s="64" t="str">
        <f t="shared" si="3"/>
        <v>0.14 - 0.16</v>
      </c>
      <c r="M29" s="64">
        <f t="shared" si="4"/>
        <v>0.15</v>
      </c>
      <c r="N29" s="64">
        <f t="shared" si="5"/>
        <v>0.15</v>
      </c>
      <c r="O29" s="64">
        <f t="shared" si="6"/>
        <v>0.14000000000000001</v>
      </c>
      <c r="P29" s="64">
        <f t="shared" si="7"/>
        <v>0.16</v>
      </c>
      <c r="Q29" s="64" t="b">
        <f t="shared" si="8"/>
        <v>0</v>
      </c>
      <c r="R29" s="64" t="b">
        <f t="shared" si="9"/>
        <v>0</v>
      </c>
      <c r="S29" s="64" t="b">
        <f t="shared" si="10"/>
        <v>0</v>
      </c>
      <c r="T29" s="64" t="b">
        <f t="shared" si="11"/>
        <v>1</v>
      </c>
    </row>
    <row r="30" spans="3:20" hidden="1" x14ac:dyDescent="0.3">
      <c r="C30" s="59" t="s">
        <v>73</v>
      </c>
      <c r="D30" s="60">
        <v>15</v>
      </c>
      <c r="E30" s="60">
        <v>5</v>
      </c>
      <c r="F30" s="30">
        <v>1</v>
      </c>
      <c r="G30" s="30">
        <v>2</v>
      </c>
      <c r="H30" s="61" t="s">
        <v>42</v>
      </c>
      <c r="I30" s="62">
        <f t="shared" si="0"/>
        <v>1.1857707509881423</v>
      </c>
      <c r="J30" s="63">
        <f t="shared" si="1"/>
        <v>2.3715415019762847</v>
      </c>
      <c r="K30" s="64" t="str">
        <f t="shared" si="2"/>
        <v>0.96 - 2.04</v>
      </c>
      <c r="L30" s="64" t="str">
        <f t="shared" si="3"/>
        <v>0.93 - 2.08</v>
      </c>
      <c r="M30" s="64">
        <f t="shared" si="4"/>
        <v>0.96</v>
      </c>
      <c r="N30" s="64">
        <f t="shared" si="5"/>
        <v>2.04</v>
      </c>
      <c r="O30" s="64">
        <f t="shared" si="6"/>
        <v>0.93</v>
      </c>
      <c r="P30" s="64">
        <f t="shared" si="7"/>
        <v>2.08</v>
      </c>
      <c r="Q30" s="64" t="b">
        <f t="shared" si="8"/>
        <v>0</v>
      </c>
      <c r="R30" s="64" t="b">
        <f t="shared" si="9"/>
        <v>0</v>
      </c>
      <c r="S30" s="64" t="b">
        <f t="shared" si="10"/>
        <v>0</v>
      </c>
      <c r="T30" s="64" t="b">
        <f t="shared" si="11"/>
        <v>1</v>
      </c>
    </row>
    <row r="31" spans="3:20" hidden="1" x14ac:dyDescent="0.3">
      <c r="C31" s="59" t="s">
        <v>75</v>
      </c>
      <c r="D31" s="60">
        <v>15</v>
      </c>
      <c r="E31" s="60">
        <v>1</v>
      </c>
      <c r="F31" s="30">
        <v>5</v>
      </c>
      <c r="G31" s="30">
        <v>10</v>
      </c>
      <c r="H31" s="61" t="s">
        <v>42</v>
      </c>
      <c r="I31" s="62">
        <f t="shared" si="0"/>
        <v>5.928853754940711</v>
      </c>
      <c r="J31" s="63">
        <f t="shared" si="1"/>
        <v>11.857707509881422</v>
      </c>
      <c r="K31" s="64" t="str">
        <f t="shared" si="2"/>
        <v>4.81 - 10.19</v>
      </c>
      <c r="L31" s="64" t="str">
        <f t="shared" si="3"/>
        <v>4.63 - 10.38</v>
      </c>
      <c r="M31" s="64">
        <f t="shared" si="4"/>
        <v>4.8099999999999996</v>
      </c>
      <c r="N31" s="64">
        <f t="shared" si="5"/>
        <v>10.19</v>
      </c>
      <c r="O31" s="64">
        <f t="shared" si="6"/>
        <v>4.63</v>
      </c>
      <c r="P31" s="64">
        <f t="shared" si="7"/>
        <v>10.38</v>
      </c>
      <c r="Q31" s="64" t="b">
        <f t="shared" si="8"/>
        <v>0</v>
      </c>
      <c r="R31" s="64" t="b">
        <f t="shared" si="9"/>
        <v>0</v>
      </c>
      <c r="S31" s="64" t="b">
        <f t="shared" si="10"/>
        <v>0</v>
      </c>
      <c r="T31" s="64" t="b">
        <f t="shared" si="11"/>
        <v>1</v>
      </c>
    </row>
    <row r="32" spans="3:20" hidden="1" x14ac:dyDescent="0.3">
      <c r="C32" s="70" t="s">
        <v>81</v>
      </c>
      <c r="D32" s="71">
        <v>40</v>
      </c>
      <c r="E32" s="71">
        <v>5</v>
      </c>
      <c r="F32" s="72">
        <v>3</v>
      </c>
      <c r="G32" s="72">
        <v>6</v>
      </c>
      <c r="H32" s="73" t="s">
        <v>42</v>
      </c>
      <c r="I32" s="74">
        <f t="shared" si="0"/>
        <v>3.1620553359683794</v>
      </c>
      <c r="J32" s="75">
        <f t="shared" si="1"/>
        <v>6.3241106719367588</v>
      </c>
      <c r="K32" s="64" t="str">
        <f t="shared" si="2"/>
        <v>2.89 - 6.11</v>
      </c>
      <c r="L32" s="64" t="str">
        <f t="shared" si="3"/>
        <v>2.78 - 6.23</v>
      </c>
      <c r="M32" s="64">
        <f t="shared" si="4"/>
        <v>2.89</v>
      </c>
      <c r="N32" s="64">
        <f t="shared" si="5"/>
        <v>6.11</v>
      </c>
      <c r="O32" s="64">
        <f t="shared" si="6"/>
        <v>2.78</v>
      </c>
      <c r="P32" s="64">
        <f t="shared" si="7"/>
        <v>6.23</v>
      </c>
      <c r="Q32" s="64" t="b">
        <f t="shared" si="8"/>
        <v>0</v>
      </c>
      <c r="R32" s="64" t="b">
        <f t="shared" si="9"/>
        <v>0</v>
      </c>
      <c r="S32" s="64" t="b">
        <f t="shared" si="10"/>
        <v>0</v>
      </c>
      <c r="T32" s="64" t="b">
        <f t="shared" si="11"/>
        <v>1</v>
      </c>
    </row>
  </sheetData>
  <sheetProtection sheet="1" autoFilter="0" pivotTables="0"/>
  <conditionalFormatting sqref="B4">
    <cfRule type="expression" dxfId="79" priority="3">
      <formula>ISBLANK(kg)</formula>
    </cfRule>
  </conditionalFormatting>
  <conditionalFormatting sqref="I9:I32">
    <cfRule type="expression" dxfId="78" priority="4">
      <formula>AND(H9="mg/kg/dose",NOT(ISBLANK(kg)),NOT(ISBLANK(dose)),NOT(ISBLANK(freq)),NOT(I9=""),T9=TRUE)</formula>
    </cfRule>
    <cfRule type="expression" dxfId="77" priority="5">
      <formula>AND(H9="mg/kg/dose",NOT(ISBLANK(kg)),NOT(ISBLANK(dose)),NOT(ISBLANK(freq)),NOT(I9=""),S9=TRUE)</formula>
    </cfRule>
    <cfRule type="expression" dxfId="76" priority="6">
      <formula>AND(H9="mg/kg/dose",NOT(ISBLANK(kg)),NOT(ISBLANK(dose)),NOT(ISBLANK(freq)),NOT(I9=""),R9=TRUE)</formula>
    </cfRule>
    <cfRule type="expression" dxfId="75" priority="7">
      <formula>AND(H9="mg/kg/dose",NOT(ISBLANK(kg)),NOT(ISBLANK(dose)),NOT(ISBLANK(freq)),NOT(I9=""),Q9=TRUE)</formula>
    </cfRule>
  </conditionalFormatting>
  <conditionalFormatting sqref="Q9:Q10">
    <cfRule type="expression" dxfId="74" priority="8">
      <formula>AND(NOT(ISBLANK(kg)),NOT(Q9=""),W9=TRUE)</formula>
    </cfRule>
    <cfRule type="expression" dxfId="73" priority="9">
      <formula>AND(NOT(ISBLANK(kg)),NOT(Q9=""),V9=TRUE)</formula>
    </cfRule>
    <cfRule type="expression" dxfId="72" priority="10">
      <formula>AND(NOT(ISBLANK(kg)),NOT(Q9=""),U9=TRUE)</formula>
    </cfRule>
    <cfRule type="expression" dxfId="71" priority="11">
      <formula>AND(NOT(ISBLANK(kg)),NOT(Q9=""),#REF!=TRUE)</formula>
    </cfRule>
  </conditionalFormatting>
  <conditionalFormatting sqref="R9:T10">
    <cfRule type="expression" dxfId="70" priority="12">
      <formula>AND(NOT(ISBLANK(kg)),NOT(R9=""),X9=TRUE)</formula>
    </cfRule>
    <cfRule type="expression" dxfId="69" priority="13">
      <formula>AND(NOT(ISBLANK(kg)),NOT(R9=""),W9=TRUE)</formula>
    </cfRule>
    <cfRule type="expression" dxfId="68" priority="14">
      <formula>AND(NOT(ISBLANK(kg)),NOT(R9=""),V9=TRUE)</formula>
    </cfRule>
    <cfRule type="expression" dxfId="67" priority="15">
      <formula>AND(NOT(ISBLANK(kg)),NOT(R9=""),U9=TRUE)</formula>
    </cfRule>
  </conditionalFormatting>
  <conditionalFormatting sqref="J9:J32">
    <cfRule type="expression" dxfId="66" priority="16">
      <formula>AND(H9="mg/kg/day",NOT(ISBLANK(kg)),NOT(ISBLANK(dose)),NOT(ISBLANK(freq)),NOT(I9=""),T9=TRUE)</formula>
    </cfRule>
    <cfRule type="expression" dxfId="65" priority="17">
      <formula>AND(H9="mg/kg/day",NOT(ISBLANK(kg)),NOT(ISBLANK(dose)),NOT(ISBLANK(freq)),NOT(I9=""),S9=TRUE)</formula>
    </cfRule>
    <cfRule type="expression" dxfId="64" priority="18">
      <formula>AND(H9="mg/kg/day",NOT(ISBLANK(kg)),NOT(ISBLANK(dose)),NOT(ISBLANK(freq)),NOT(I9=""),R9=TRUE)</formula>
    </cfRule>
    <cfRule type="expression" dxfId="63" priority="19">
      <formula>AND(H9="mg/kg/day",NOT(ISBLANK(kg)),NOT(ISBLANK(dose)),NOT(ISBLANK(freq)),NOT(I9=""),Q9=TRUE)</formula>
    </cfRule>
  </conditionalFormatting>
  <conditionalFormatting sqref="K9:K10">
    <cfRule type="expression" dxfId="62" priority="20">
      <formula>AND(NOT(ISBLANK(kg)),NOT(K9=""),U9=TRUE)</formula>
    </cfRule>
    <cfRule type="expression" dxfId="61" priority="21">
      <formula>AND(NOT(ISBLANK(kg)),NOT(K9=""),#REF!=TRUE)</formula>
    </cfRule>
    <cfRule type="expression" dxfId="60" priority="22">
      <formula>AND(NOT(ISBLANK(kg)),NOT(K9=""),#REF!=TRUE)</formula>
    </cfRule>
    <cfRule type="expression" dxfId="59" priority="23">
      <formula>AND(NOT(ISBLANK(kg)),NOT(K9=""),#REF!=TRUE)</formula>
    </cfRule>
  </conditionalFormatting>
  <conditionalFormatting sqref="L9:L10">
    <cfRule type="expression" dxfId="58" priority="24">
      <formula>AND(NOT(ISBLANK(kg)),NOT(L9=""),V9=TRUE)</formula>
    </cfRule>
    <cfRule type="expression" dxfId="57" priority="25">
      <formula>AND(NOT(ISBLANK(kg)),NOT(L9=""),U9=TRUE)</formula>
    </cfRule>
    <cfRule type="expression" dxfId="56" priority="26">
      <formula>AND(NOT(ISBLANK(kg)),NOT(L9=""),#REF!=TRUE)</formula>
    </cfRule>
    <cfRule type="expression" dxfId="55" priority="27">
      <formula>AND(NOT(ISBLANK(kg)),NOT(L9=""),#REF!=TRUE)</formula>
    </cfRule>
  </conditionalFormatting>
  <conditionalFormatting sqref="M9:M10">
    <cfRule type="expression" dxfId="54" priority="28">
      <formula>AND(NOT(ISBLANK(kg)),NOT(M9=""),W9=TRUE)</formula>
    </cfRule>
    <cfRule type="expression" dxfId="53" priority="29">
      <formula>AND(NOT(ISBLANK(kg)),NOT(M9=""),V9=TRUE)</formula>
    </cfRule>
    <cfRule type="expression" dxfId="52" priority="30">
      <formula>AND(NOT(ISBLANK(kg)),NOT(M9=""),U9=TRUE)</formula>
    </cfRule>
    <cfRule type="expression" dxfId="51" priority="31">
      <formula>AND(NOT(ISBLANK(kg)),NOT(M9=""),#REF!=TRUE)</formula>
    </cfRule>
  </conditionalFormatting>
  <conditionalFormatting sqref="N9:P10">
    <cfRule type="expression" dxfId="50" priority="32">
      <formula>AND(NOT(ISBLANK(kg)),NOT(N9=""),X9=TRUE)</formula>
    </cfRule>
    <cfRule type="expression" dxfId="49" priority="33">
      <formula>AND(NOT(ISBLANK(kg)),NOT(N9=""),W9=TRUE)</formula>
    </cfRule>
    <cfRule type="expression" dxfId="48" priority="34">
      <formula>AND(NOT(ISBLANK(kg)),NOT(N9=""),V9=TRUE)</formula>
    </cfRule>
    <cfRule type="expression" dxfId="47" priority="35">
      <formula>AND(NOT(ISBLANK(kg)),NOT(N9=""),U9=TRUE)</formula>
    </cfRule>
  </conditionalFormatting>
  <conditionalFormatting sqref="Q11:Q32">
    <cfRule type="expression" dxfId="46" priority="36">
      <formula>AND(NOT(ISBLANK(kg)),NOT(Q11=""),W12=TRUE)</formula>
    </cfRule>
    <cfRule type="expression" dxfId="45" priority="37">
      <formula>AND(NOT(ISBLANK(kg)),NOT(Q11=""),V12=TRUE)</formula>
    </cfRule>
    <cfRule type="expression" dxfId="44" priority="38">
      <formula>AND(NOT(ISBLANK(kg)),NOT(Q11=""),U12=TRUE)</formula>
    </cfRule>
    <cfRule type="expression" dxfId="43" priority="39">
      <formula>AND(NOT(ISBLANK(kg)),NOT(Q11=""),#REF!=TRUE)</formula>
    </cfRule>
  </conditionalFormatting>
  <conditionalFormatting sqref="R11:T32">
    <cfRule type="expression" dxfId="42" priority="40">
      <formula>AND(NOT(ISBLANK(kg)),NOT(R11=""),X12=TRUE)</formula>
    </cfRule>
    <cfRule type="expression" dxfId="41" priority="41">
      <formula>AND(NOT(ISBLANK(kg)),NOT(R11=""),W12=TRUE)</formula>
    </cfRule>
    <cfRule type="expression" dxfId="40" priority="42">
      <formula>AND(NOT(ISBLANK(kg)),NOT(R11=""),V12=TRUE)</formula>
    </cfRule>
    <cfRule type="expression" dxfId="39" priority="43">
      <formula>AND(NOT(ISBLANK(kg)),NOT(R11=""),U12=TRUE)</formula>
    </cfRule>
  </conditionalFormatting>
  <conditionalFormatting sqref="K11:K32">
    <cfRule type="expression" dxfId="38" priority="44">
      <formula>AND(NOT(ISBLANK(kg)),NOT(K11=""),U12=TRUE)</formula>
    </cfRule>
    <cfRule type="expression" dxfId="37" priority="45">
      <formula>AND(NOT(ISBLANK(kg)),NOT(K11=""),#REF!=TRUE)</formula>
    </cfRule>
    <cfRule type="expression" dxfId="36" priority="46">
      <formula>AND(NOT(ISBLANK(kg)),NOT(K11=""),#REF!=TRUE)</formula>
    </cfRule>
    <cfRule type="expression" dxfId="35" priority="47">
      <formula>AND(NOT(ISBLANK(kg)),NOT(K11=""),#REF!=TRUE)</formula>
    </cfRule>
  </conditionalFormatting>
  <conditionalFormatting sqref="L11:L32">
    <cfRule type="expression" dxfId="34" priority="48">
      <formula>AND(NOT(ISBLANK(kg)),NOT(L11=""),V12=TRUE)</formula>
    </cfRule>
    <cfRule type="expression" dxfId="33" priority="49">
      <formula>AND(NOT(ISBLANK(kg)),NOT(L11=""),U12=TRUE)</formula>
    </cfRule>
    <cfRule type="expression" dxfId="32" priority="50">
      <formula>AND(NOT(ISBLANK(kg)),NOT(L11=""),#REF!=TRUE)</formula>
    </cfRule>
    <cfRule type="expression" dxfId="31" priority="51">
      <formula>AND(NOT(ISBLANK(kg)),NOT(L11=""),#REF!=TRUE)</formula>
    </cfRule>
  </conditionalFormatting>
  <conditionalFormatting sqref="M11:M32">
    <cfRule type="expression" dxfId="30" priority="52">
      <formula>AND(NOT(ISBLANK(kg)),NOT(M11=""),W12=TRUE)</formula>
    </cfRule>
    <cfRule type="expression" dxfId="29" priority="53">
      <formula>AND(NOT(ISBLANK(kg)),NOT(M11=""),V12=TRUE)</formula>
    </cfRule>
    <cfRule type="expression" dxfId="28" priority="54">
      <formula>AND(NOT(ISBLANK(kg)),NOT(M11=""),U12=TRUE)</formula>
    </cfRule>
    <cfRule type="expression" dxfId="27" priority="55">
      <formula>AND(NOT(ISBLANK(kg)),NOT(M11=""),#REF!=TRUE)</formula>
    </cfRule>
  </conditionalFormatting>
  <conditionalFormatting sqref="N11:P32">
    <cfRule type="expression" dxfId="26" priority="56">
      <formula>AND(NOT(ISBLANK(kg)),NOT(N11=""),X12=TRUE)</formula>
    </cfRule>
    <cfRule type="expression" dxfId="25" priority="57">
      <formula>AND(NOT(ISBLANK(kg)),NOT(N11=""),W12=TRUE)</formula>
    </cfRule>
    <cfRule type="expression" dxfId="24" priority="58">
      <formula>AND(NOT(ISBLANK(kg)),NOT(N11=""),V12=TRUE)</formula>
    </cfRule>
    <cfRule type="expression" dxfId="23" priority="59">
      <formula>AND(NOT(ISBLANK(kg)),NOT(N11=""),U12=TRUE)</formula>
    </cfRule>
  </conditionalFormatting>
  <conditionalFormatting sqref="B5">
    <cfRule type="expression" dxfId="22" priority="2">
      <formula>ISBLANK(dose)</formula>
    </cfRule>
  </conditionalFormatting>
  <conditionalFormatting sqref="B6">
    <cfRule type="expression" dxfId="21" priority="1">
      <formula>ISBLANK(freq)</formula>
    </cfRule>
  </conditionalFormatting>
  <dataValidations count="5">
    <dataValidation type="decimal" operator="greaterThanOrEqual" allowBlank="1" showInputMessage="1" showErrorMessage="1" error="Please enter a percentage &gt;= 0" sqref="D6:E6" xr:uid="{00000000-0002-0000-0100-000000000000}">
      <formula1>0</formula1>
    </dataValidation>
    <dataValidation type="decimal" operator="greaterThanOrEqual" allowBlank="1" showInputMessage="1" showErrorMessage="1" error="Please enter a number &gt;= 0.1" sqref="B4" xr:uid="{00000000-0002-0000-0100-000001000000}">
      <formula1>0.1</formula1>
    </dataValidation>
    <dataValidation type="decimal" operator="greaterThan" allowBlank="1" showInputMessage="1" showErrorMessage="1" error="Please enter a number &gt; 0" sqref="B5 D9:G32" xr:uid="{00000000-0002-0000-0100-000002000000}">
      <formula1>0</formula1>
    </dataValidation>
    <dataValidation type="whole" operator="greaterThanOrEqual" allowBlank="1" showInputMessage="1" showErrorMessage="1" errorTitle="Out of range" error="Please enter a number &gt;= 1" sqref="B6" xr:uid="{00000000-0002-0000-0100-000003000000}">
      <formula1>1</formula1>
    </dataValidation>
    <dataValidation type="list" allowBlank="1" showInputMessage="1" showErrorMessage="1" sqref="H9:H32" xr:uid="{00000000-0002-0000-0100-000004000000}">
      <formula1>"mg/kg/dose,mg/kg/day"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set_dosecheck">
                <anchor>
                  <from>
                    <xdr:col>2</xdr:col>
                    <xdr:colOff>91440</xdr:colOff>
                    <xdr:row>2</xdr:row>
                    <xdr:rowOff>190500</xdr:rowOff>
                  </from>
                  <to>
                    <xdr:col>2</xdr:col>
                    <xdr:colOff>876300</xdr:colOff>
                    <xdr:row>6</xdr:row>
                    <xdr:rowOff>15240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4"/>
  <sheetViews>
    <sheetView workbookViewId="0">
      <selection activeCell="C2" sqref="C2"/>
    </sheetView>
  </sheetViews>
  <sheetFormatPr defaultColWidth="9.21875" defaultRowHeight="14.4" x14ac:dyDescent="0.3"/>
  <cols>
    <col min="1" max="1" width="2.77734375" style="10" customWidth="1"/>
    <col min="2" max="2" width="12.77734375" style="10" bestFit="1" customWidth="1"/>
    <col min="3" max="3" width="11.77734375" style="10" customWidth="1"/>
    <col min="4" max="4" width="12.77734375" style="10" customWidth="1"/>
    <col min="5" max="5" width="11.5546875" style="10" bestFit="1" customWidth="1"/>
    <col min="6" max="6" width="12.44140625" style="10" bestFit="1" customWidth="1"/>
    <col min="7" max="7" width="11.5546875" style="10" bestFit="1" customWidth="1"/>
    <col min="8" max="8" width="12.44140625" style="10" bestFit="1" customWidth="1"/>
    <col min="9" max="9" width="12.77734375" style="10" customWidth="1"/>
    <col min="10" max="10" width="12.44140625" style="10" bestFit="1" customWidth="1"/>
    <col min="11" max="11" width="12.77734375" style="10" customWidth="1"/>
    <col min="12" max="12" width="11.77734375" style="10" customWidth="1"/>
    <col min="13" max="16384" width="9.21875" style="10"/>
  </cols>
  <sheetData>
    <row r="1" spans="1:13" ht="15" thickBot="1" x14ac:dyDescent="0.35">
      <c r="A1" s="76"/>
      <c r="B1" s="76"/>
      <c r="C1" s="76"/>
      <c r="D1" s="76"/>
      <c r="E1" s="76"/>
      <c r="F1" s="76"/>
      <c r="G1" s="76"/>
      <c r="H1" s="76"/>
      <c r="I1" s="76"/>
      <c r="J1" s="76"/>
      <c r="K1" s="76"/>
      <c r="L1" s="76"/>
      <c r="M1" s="76"/>
    </row>
    <row r="2" spans="1:13" ht="15" thickBot="1" x14ac:dyDescent="0.35">
      <c r="A2" s="76"/>
      <c r="B2" s="77" t="s">
        <v>19</v>
      </c>
      <c r="C2" s="22"/>
      <c r="D2" s="76"/>
      <c r="E2" s="76"/>
      <c r="F2" s="76"/>
      <c r="G2" s="76"/>
      <c r="H2" s="76"/>
      <c r="I2" s="76"/>
      <c r="J2" s="76"/>
      <c r="K2" s="76"/>
      <c r="L2" s="76"/>
      <c r="M2" s="76"/>
    </row>
    <row r="3" spans="1:13" x14ac:dyDescent="0.3">
      <c r="A3" s="76"/>
      <c r="B3" s="76"/>
      <c r="C3" s="76"/>
      <c r="D3" s="76"/>
      <c r="E3" s="76"/>
      <c r="F3" s="76"/>
      <c r="G3" s="76"/>
      <c r="H3" s="76"/>
      <c r="I3" s="76"/>
      <c r="J3" s="76"/>
      <c r="K3" s="76"/>
      <c r="L3" s="76"/>
      <c r="M3" s="76"/>
    </row>
    <row r="4" spans="1:13" x14ac:dyDescent="0.3">
      <c r="A4" s="76"/>
      <c r="B4" s="76"/>
      <c r="C4" s="76"/>
      <c r="D4" s="76"/>
      <c r="E4" s="76"/>
      <c r="F4" s="76"/>
      <c r="G4" s="76"/>
      <c r="H4" s="76"/>
      <c r="I4" s="76"/>
      <c r="J4" s="76"/>
      <c r="K4" s="76"/>
      <c r="L4" s="76"/>
      <c r="M4" s="76"/>
    </row>
    <row r="5" spans="1:13" x14ac:dyDescent="0.3">
      <c r="A5" s="76"/>
      <c r="B5" s="78" t="s">
        <v>108</v>
      </c>
      <c r="C5" s="79" t="s">
        <v>109</v>
      </c>
      <c r="D5" s="80"/>
      <c r="E5" s="81" t="s">
        <v>108</v>
      </c>
      <c r="F5" s="76"/>
      <c r="G5" s="78" t="s">
        <v>110</v>
      </c>
      <c r="H5" s="78" t="s">
        <v>111</v>
      </c>
      <c r="I5" s="78" t="s">
        <v>112</v>
      </c>
      <c r="J5" s="76"/>
      <c r="K5" s="76"/>
      <c r="L5" s="76"/>
      <c r="M5" s="76"/>
    </row>
    <row r="6" spans="1:13" x14ac:dyDescent="0.3">
      <c r="A6" s="76"/>
      <c r="B6" s="82" t="s">
        <v>113</v>
      </c>
      <c r="C6" s="83" t="s">
        <v>113</v>
      </c>
      <c r="D6" s="84" t="s">
        <v>114</v>
      </c>
      <c r="E6" s="84" t="s">
        <v>114</v>
      </c>
      <c r="F6" s="76"/>
      <c r="G6" s="82" t="s">
        <v>115</v>
      </c>
      <c r="H6" s="82" t="s">
        <v>15</v>
      </c>
      <c r="I6" s="82" t="s">
        <v>114</v>
      </c>
      <c r="J6" s="76"/>
      <c r="K6" s="85"/>
      <c r="L6" s="76"/>
      <c r="M6" s="76"/>
    </row>
    <row r="7" spans="1:13" x14ac:dyDescent="0.3">
      <c r="A7" s="76"/>
      <c r="B7" s="7"/>
      <c r="C7" s="7"/>
      <c r="D7" s="9"/>
      <c r="E7" s="86" t="str">
        <f>IF(OR(ISBLANK(B7),ISBLANK(C7),ISBLANK(D7)),"",D7/C7*B7)</f>
        <v/>
      </c>
      <c r="F7" s="76"/>
      <c r="G7" s="7"/>
      <c r="H7" s="7"/>
      <c r="I7" s="86" t="str">
        <f>IF(OR(E7="",ISBLANK(G7),ISBLANK(H7)),"",E7*G7*H7)</f>
        <v/>
      </c>
      <c r="J7" s="85"/>
      <c r="K7" s="85"/>
      <c r="L7" s="76"/>
      <c r="M7" s="76"/>
    </row>
    <row r="8" spans="1:13" x14ac:dyDescent="0.3">
      <c r="A8" s="76"/>
      <c r="B8" s="85"/>
      <c r="C8" s="85"/>
      <c r="D8" s="85"/>
      <c r="E8" s="85"/>
      <c r="F8" s="85"/>
      <c r="G8" s="85"/>
      <c r="H8" s="85"/>
      <c r="I8" s="85"/>
      <c r="J8" s="85"/>
      <c r="K8" s="85"/>
      <c r="L8" s="76"/>
      <c r="M8" s="76"/>
    </row>
    <row r="9" spans="1:13" x14ac:dyDescent="0.3">
      <c r="A9" s="76"/>
      <c r="B9" s="85"/>
      <c r="C9" s="85"/>
      <c r="D9" s="85"/>
      <c r="E9" s="85"/>
      <c r="F9" s="85"/>
      <c r="G9" s="85"/>
      <c r="H9" s="85"/>
      <c r="I9" s="85"/>
      <c r="J9" s="85"/>
      <c r="K9" s="85"/>
      <c r="L9" s="76"/>
      <c r="M9" s="76"/>
    </row>
    <row r="10" spans="1:13" x14ac:dyDescent="0.3">
      <c r="A10" s="76"/>
      <c r="B10" s="78" t="s">
        <v>108</v>
      </c>
      <c r="C10" s="79" t="s">
        <v>109</v>
      </c>
      <c r="D10" s="80"/>
      <c r="E10" s="81" t="s">
        <v>108</v>
      </c>
      <c r="F10" s="76"/>
      <c r="G10" s="78" t="s">
        <v>110</v>
      </c>
      <c r="H10" s="78" t="s">
        <v>111</v>
      </c>
      <c r="I10" s="78" t="s">
        <v>112</v>
      </c>
      <c r="J10" s="76"/>
      <c r="K10" s="76"/>
      <c r="L10" s="76"/>
      <c r="M10" s="76"/>
    </row>
    <row r="11" spans="1:13" x14ac:dyDescent="0.3">
      <c r="A11" s="76"/>
      <c r="B11" s="82" t="s">
        <v>114</v>
      </c>
      <c r="C11" s="83" t="s">
        <v>113</v>
      </c>
      <c r="D11" s="84" t="s">
        <v>114</v>
      </c>
      <c r="E11" s="84" t="s">
        <v>113</v>
      </c>
      <c r="F11" s="76"/>
      <c r="G11" s="82" t="s">
        <v>115</v>
      </c>
      <c r="H11" s="82" t="s">
        <v>15</v>
      </c>
      <c r="I11" s="82" t="s">
        <v>114</v>
      </c>
      <c r="J11" s="76"/>
      <c r="K11" s="76"/>
      <c r="L11" s="76"/>
      <c r="M11" s="76"/>
    </row>
    <row r="12" spans="1:13" x14ac:dyDescent="0.3">
      <c r="A12" s="76"/>
      <c r="B12" s="7"/>
      <c r="C12" s="7"/>
      <c r="D12" s="7"/>
      <c r="E12" s="86" t="str">
        <f>IF(OR(ISBLANK(B12),ISBLANK(C12),ISBLANK(D12)),"",C12/D12*B12)</f>
        <v/>
      </c>
      <c r="F12" s="76"/>
      <c r="G12" s="7"/>
      <c r="H12" s="7"/>
      <c r="I12" s="86" t="str">
        <f>IF(OR(ISBLANK(B12),ISBLANK(G12),ISBLANK(H12)),"",B12*G12*H12)</f>
        <v/>
      </c>
      <c r="J12" s="76"/>
      <c r="K12" s="76"/>
      <c r="L12" s="76"/>
      <c r="M12" s="76"/>
    </row>
    <row r="13" spans="1:13" x14ac:dyDescent="0.3">
      <c r="A13" s="76"/>
      <c r="B13" s="76"/>
      <c r="C13" s="76"/>
      <c r="D13" s="87"/>
      <c r="E13" s="87"/>
      <c r="F13" s="88"/>
      <c r="G13" s="89"/>
      <c r="H13" s="87"/>
      <c r="I13" s="87"/>
      <c r="J13" s="89"/>
      <c r="K13" s="87"/>
      <c r="L13" s="76"/>
      <c r="M13" s="76"/>
    </row>
    <row r="14" spans="1:13" x14ac:dyDescent="0.3">
      <c r="A14" s="76"/>
      <c r="B14" s="76"/>
      <c r="C14" s="76"/>
      <c r="D14" s="76"/>
      <c r="E14" s="76"/>
      <c r="F14" s="76"/>
      <c r="G14" s="76"/>
      <c r="H14" s="76"/>
      <c r="I14" s="76"/>
      <c r="J14" s="76"/>
      <c r="K14" s="76"/>
      <c r="L14" s="76"/>
      <c r="M14" s="76"/>
    </row>
    <row r="15" spans="1:13" x14ac:dyDescent="0.3">
      <c r="A15" s="76"/>
      <c r="B15" s="90" t="s">
        <v>108</v>
      </c>
      <c r="C15" s="91" t="s">
        <v>109</v>
      </c>
      <c r="D15" s="92"/>
      <c r="E15" s="78" t="s">
        <v>110</v>
      </c>
      <c r="F15" s="76"/>
      <c r="G15" s="90" t="s">
        <v>116</v>
      </c>
      <c r="H15" s="90" t="s">
        <v>117</v>
      </c>
      <c r="I15" s="90" t="s">
        <v>118</v>
      </c>
      <c r="J15" s="90" t="s">
        <v>116</v>
      </c>
      <c r="K15" s="90" t="s">
        <v>117</v>
      </c>
      <c r="L15" s="93" t="s">
        <v>118</v>
      </c>
      <c r="M15" s="76"/>
    </row>
    <row r="16" spans="1:13" x14ac:dyDescent="0.3">
      <c r="A16" s="76"/>
      <c r="B16" s="94" t="s">
        <v>114</v>
      </c>
      <c r="C16" s="95" t="s">
        <v>113</v>
      </c>
      <c r="D16" s="84" t="s">
        <v>114</v>
      </c>
      <c r="E16" s="82" t="s">
        <v>115</v>
      </c>
      <c r="F16" s="76"/>
      <c r="G16" s="94" t="s">
        <v>39</v>
      </c>
      <c r="H16" s="94" t="s">
        <v>39</v>
      </c>
      <c r="I16" s="94" t="s">
        <v>39</v>
      </c>
      <c r="J16" s="94" t="s">
        <v>42</v>
      </c>
      <c r="K16" s="94" t="s">
        <v>42</v>
      </c>
      <c r="L16" s="96" t="s">
        <v>42</v>
      </c>
      <c r="M16" s="76"/>
    </row>
    <row r="17" spans="1:13" x14ac:dyDescent="0.3">
      <c r="A17" s="76"/>
      <c r="B17" s="97"/>
      <c r="C17" s="97"/>
      <c r="D17" s="97"/>
      <c r="E17" s="97"/>
      <c r="F17" s="76"/>
      <c r="G17" s="97"/>
      <c r="H17" s="98" t="str">
        <f>IF(OR(ISBLANK($C$2),ISBLANK(B17),ISBLANK(C17),ISBLANK(D17)),"",(B17*(C17/D17))/$C$2)</f>
        <v/>
      </c>
      <c r="I17" s="99" t="str">
        <f>IF(OR(H17="",ISBLANK(G17)),"",(H17-G17)/G17)</f>
        <v/>
      </c>
      <c r="J17" s="97"/>
      <c r="K17" s="100" t="str">
        <f>IF(OR(H17="",ISBLANK(E17)),"",H17*E17)</f>
        <v/>
      </c>
      <c r="L17" s="99" t="str">
        <f>IF(OR(K17="",ISBLANK(J17)),"",(K17-J17)/J17)</f>
        <v/>
      </c>
      <c r="M17" s="76"/>
    </row>
    <row r="18" spans="1:13" x14ac:dyDescent="0.3">
      <c r="A18" s="76"/>
      <c r="B18" s="76"/>
      <c r="C18" s="76"/>
      <c r="D18" s="87"/>
      <c r="E18" s="87"/>
      <c r="F18" s="88"/>
      <c r="G18" s="89"/>
      <c r="H18" s="87"/>
      <c r="I18" s="87"/>
      <c r="J18" s="89"/>
      <c r="K18" s="87"/>
      <c r="L18" s="76"/>
      <c r="M18" s="76"/>
    </row>
    <row r="19" spans="1:13" x14ac:dyDescent="0.3">
      <c r="A19" s="76"/>
      <c r="B19" s="76"/>
      <c r="C19" s="76"/>
      <c r="D19" s="76"/>
      <c r="E19" s="76"/>
      <c r="F19" s="76"/>
      <c r="G19" s="76"/>
      <c r="H19" s="76"/>
      <c r="I19" s="76"/>
      <c r="J19" s="76"/>
      <c r="K19" s="76"/>
      <c r="L19" s="76"/>
      <c r="M19" s="76"/>
    </row>
    <row r="20" spans="1:13" x14ac:dyDescent="0.3">
      <c r="A20" s="76"/>
      <c r="B20" s="90" t="s">
        <v>108</v>
      </c>
      <c r="C20" s="90" t="s">
        <v>110</v>
      </c>
      <c r="D20" s="76"/>
      <c r="E20" s="76"/>
      <c r="F20" s="76"/>
      <c r="G20" s="90" t="s">
        <v>116</v>
      </c>
      <c r="H20" s="90" t="s">
        <v>117</v>
      </c>
      <c r="I20" s="90" t="s">
        <v>118</v>
      </c>
      <c r="J20" s="90" t="s">
        <v>116</v>
      </c>
      <c r="K20" s="90" t="s">
        <v>117</v>
      </c>
      <c r="L20" s="93" t="s">
        <v>118</v>
      </c>
      <c r="M20" s="76"/>
    </row>
    <row r="21" spans="1:13" x14ac:dyDescent="0.3">
      <c r="A21" s="76"/>
      <c r="B21" s="94" t="s">
        <v>113</v>
      </c>
      <c r="C21" s="94" t="s">
        <v>119</v>
      </c>
      <c r="D21" s="76"/>
      <c r="E21" s="76"/>
      <c r="F21" s="76"/>
      <c r="G21" s="94" t="s">
        <v>39</v>
      </c>
      <c r="H21" s="94" t="s">
        <v>39</v>
      </c>
      <c r="I21" s="94" t="s">
        <v>39</v>
      </c>
      <c r="J21" s="94" t="s">
        <v>42</v>
      </c>
      <c r="K21" s="94" t="s">
        <v>42</v>
      </c>
      <c r="L21" s="96" t="s">
        <v>42</v>
      </c>
      <c r="M21" s="76"/>
    </row>
    <row r="22" spans="1:13" x14ac:dyDescent="0.3">
      <c r="A22" s="76"/>
      <c r="B22" s="7"/>
      <c r="C22" s="97"/>
      <c r="D22" s="76"/>
      <c r="E22" s="76"/>
      <c r="F22" s="76"/>
      <c r="G22" s="97"/>
      <c r="H22" s="100" t="str">
        <f>IF(OR(ISBLANK(B22),ISBLANK($C$2)),"",B22/$C$2)</f>
        <v/>
      </c>
      <c r="I22" s="99" t="str">
        <f>IF(OR(H22="",ISBLANK(G22)),"",(H22-G22)/G22)</f>
        <v/>
      </c>
      <c r="J22" s="7"/>
      <c r="K22" s="100" t="str">
        <f>IF(OR(ISBLANK(B22),ISBLANK(C22),ISBLANK($C$2)),"",(B22*C22)/$C$2)</f>
        <v/>
      </c>
      <c r="L22" s="99" t="str">
        <f>IF(OR(K22="",ISBLANK(J22)),"",(K22-J22)/J22)</f>
        <v/>
      </c>
      <c r="M22" s="76"/>
    </row>
    <row r="23" spans="1:13" x14ac:dyDescent="0.3">
      <c r="A23" s="76"/>
      <c r="B23" s="76"/>
      <c r="C23" s="76"/>
      <c r="D23" s="76"/>
      <c r="E23" s="76"/>
      <c r="F23" s="76"/>
      <c r="G23" s="76"/>
      <c r="H23" s="76"/>
      <c r="I23" s="76"/>
      <c r="J23" s="76"/>
      <c r="K23" s="76"/>
      <c r="L23" s="76"/>
      <c r="M23" s="76"/>
    </row>
    <row r="24" spans="1:13" x14ac:dyDescent="0.3">
      <c r="A24" s="76"/>
      <c r="B24" s="76"/>
      <c r="C24" s="76"/>
      <c r="D24" s="76"/>
      <c r="E24" s="76"/>
      <c r="F24" s="76"/>
      <c r="G24" s="76"/>
      <c r="H24" s="76"/>
      <c r="I24" s="76"/>
      <c r="J24" s="76"/>
      <c r="K24" s="76"/>
      <c r="L24" s="76"/>
      <c r="M24" s="76"/>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set_dosetools">
                <anchor moveWithCells="1" sizeWithCells="1">
                  <from>
                    <xdr:col>3</xdr:col>
                    <xdr:colOff>441960</xdr:colOff>
                    <xdr:row>0</xdr:row>
                    <xdr:rowOff>175260</xdr:rowOff>
                  </from>
                  <to>
                    <xdr:col>4</xdr:col>
                    <xdr:colOff>480060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E23"/>
  <sheetViews>
    <sheetView workbookViewId="0">
      <selection activeCell="B1" sqref="B1"/>
    </sheetView>
  </sheetViews>
  <sheetFormatPr defaultRowHeight="14.4" x14ac:dyDescent="0.3"/>
  <cols>
    <col min="1" max="1" width="3.21875" customWidth="1"/>
    <col min="5" max="5" width="11" customWidth="1"/>
  </cols>
  <sheetData>
    <row r="2" spans="2:3" x14ac:dyDescent="0.3">
      <c r="B2" s="2" t="s">
        <v>120</v>
      </c>
    </row>
    <row r="4" spans="2:3" x14ac:dyDescent="0.3">
      <c r="B4" s="3" t="s">
        <v>1</v>
      </c>
    </row>
    <row r="5" spans="2:3" x14ac:dyDescent="0.3">
      <c r="B5" s="4"/>
      <c r="C5" s="3" t="s">
        <v>2</v>
      </c>
    </row>
    <row r="7" spans="2:3" x14ac:dyDescent="0.3">
      <c r="B7" s="3" t="s">
        <v>3</v>
      </c>
    </row>
    <row r="8" spans="2:3" x14ac:dyDescent="0.3">
      <c r="B8" s="4"/>
      <c r="C8" t="s">
        <v>4</v>
      </c>
    </row>
    <row r="9" spans="2:3" x14ac:dyDescent="0.3">
      <c r="B9" s="4"/>
      <c r="C9" t="s">
        <v>5</v>
      </c>
    </row>
    <row r="10" spans="2:3" x14ac:dyDescent="0.3">
      <c r="B10" s="4"/>
      <c r="C10" t="s">
        <v>6</v>
      </c>
    </row>
    <row r="12" spans="2:3" x14ac:dyDescent="0.3">
      <c r="B12" s="5" t="s">
        <v>7</v>
      </c>
    </row>
    <row r="13" spans="2:3" x14ac:dyDescent="0.3">
      <c r="B13" s="4"/>
      <c r="C13" t="s">
        <v>8</v>
      </c>
    </row>
    <row r="14" spans="2:3" x14ac:dyDescent="0.3">
      <c r="C14" t="s">
        <v>9</v>
      </c>
    </row>
    <row r="17" spans="2:5" x14ac:dyDescent="0.3">
      <c r="B17" s="4" t="s">
        <v>10</v>
      </c>
    </row>
    <row r="18" spans="2:5" x14ac:dyDescent="0.3">
      <c r="B18" s="4" t="s">
        <v>11</v>
      </c>
    </row>
    <row r="21" spans="2:5" x14ac:dyDescent="0.3">
      <c r="B21" s="5" t="s">
        <v>12</v>
      </c>
      <c r="E21" s="6">
        <v>42948</v>
      </c>
    </row>
    <row r="22" spans="2:5" x14ac:dyDescent="0.3">
      <c r="B22" s="4" t="s">
        <v>13</v>
      </c>
    </row>
    <row r="23" spans="2:5" x14ac:dyDescent="0.3">
      <c r="B23" s="4" t="s">
        <v>14</v>
      </c>
    </row>
  </sheetData>
  <sheetProtection sheet="1" objects="1" scenarios="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dosing</vt:lpstr>
      <vt:lpstr>dose check</vt:lpstr>
      <vt:lpstr>dose tools</vt:lpstr>
      <vt:lpstr>Readme</vt:lpstr>
      <vt:lpstr>dose</vt:lpstr>
      <vt:lpstr>freq</vt:lpstr>
      <vt:lpstr>'dose check'!kg</vt:lpstr>
      <vt:lpstr>'dose tools'!kg</vt:lpstr>
      <vt:lpstr>dosing!kg</vt:lpstr>
      <vt:lpstr>LIMIT1</vt:lpstr>
      <vt:lpstr>LIMIT2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Alt</dc:creator>
  <cp:lastModifiedBy>David Alt</cp:lastModifiedBy>
  <cp:lastPrinted>2017-05-28T01:05:52Z</cp:lastPrinted>
  <dcterms:created xsi:type="dcterms:W3CDTF">2017-05-28T00:35:58Z</dcterms:created>
  <dcterms:modified xsi:type="dcterms:W3CDTF">2018-10-11T17:16:01Z</dcterms:modified>
</cp:coreProperties>
</file>