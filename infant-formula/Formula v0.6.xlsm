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\OneDrive\Projects\Excel projects\Nutrition calc\"/>
    </mc:Choice>
  </mc:AlternateContent>
  <bookViews>
    <workbookView xWindow="240" yWindow="1365" windowWidth="14805" windowHeight="8010" tabRatio="659"/>
  </bookViews>
  <sheets>
    <sheet name="Formula" sheetId="1" r:id="rId1"/>
    <sheet name="Compare" sheetId="12" r:id="rId2"/>
    <sheet name="num of cans" sheetId="6" r:id="rId3"/>
    <sheet name="tblFormula" sheetId="4" r:id="rId4"/>
    <sheet name="tblNormula" sheetId="8" r:id="rId5"/>
    <sheet name="ref_chemistry" sheetId="2" r:id="rId6"/>
    <sheet name="conversions" sheetId="3" r:id="rId7"/>
    <sheet name="ChangeLog" sheetId="5" r:id="rId8"/>
  </sheets>
  <functionGroups builtInGroupCount="18"/>
  <definedNames>
    <definedName name="canunit">'num of cans'!$C$14</definedName>
    <definedName name="canvol">'num of cans'!$C$13</definedName>
    <definedName name="comp_base">Compare!$D$4</definedName>
    <definedName name="comp_intake">Compare!$D$25</definedName>
    <definedName name="comp_type">Compare!$D$5</definedName>
    <definedName name="comp_units">Compare!$D$8</definedName>
    <definedName name="comp_vol">Compare!$D$7</definedName>
    <definedName name="comp_wgt">Compare!$D$10</definedName>
    <definedName name="comp1">Compare!$D$14</definedName>
    <definedName name="comp2">Compare!$D$15</definedName>
    <definedName name="comp3">Compare!$D$16</definedName>
    <definedName name="comp4">Compare!$D$17</definedName>
    <definedName name="comp5">Compare!$D$18</definedName>
    <definedName name="dailyintake">'num of cans'!$C$6</definedName>
    <definedName name="desired_units">Formula!$D$6</definedName>
    <definedName name="desired_vol">Formula!$D$5</definedName>
    <definedName name="formula" localSheetId="2">'num of cans'!$C$5</definedName>
    <definedName name="formula">Formula!$D$4</definedName>
    <definedName name="fortification">'num of cans'!$C$7</definedName>
    <definedName name="intake">Formula!$D$25</definedName>
    <definedName name="mixratio">'num of cans'!$C$12</definedName>
    <definedName name="mo">'num of cans'!$C$11</definedName>
    <definedName name="nutrient">conversions!$I$4</definedName>
    <definedName name="scoopvol">'num of cans'!$C$15</definedName>
    <definedName name="wgt">Formula!$D$8</definedName>
  </definedNames>
  <calcPr calcId="171027"/>
</workbook>
</file>

<file path=xl/calcChain.xml><?xml version="1.0" encoding="utf-8"?>
<calcChain xmlns="http://schemas.openxmlformats.org/spreadsheetml/2006/main">
  <c r="U41" i="12" l="1"/>
  <c r="U45" i="12"/>
  <c r="S41" i="12"/>
  <c r="S45" i="12"/>
  <c r="Q41" i="12"/>
  <c r="Q45" i="12"/>
  <c r="O41" i="12"/>
  <c r="O45" i="12"/>
  <c r="M41" i="12"/>
  <c r="M45" i="12"/>
  <c r="T2" i="12"/>
  <c r="R2" i="12"/>
  <c r="P2" i="12"/>
  <c r="N2" i="12"/>
  <c r="L2" i="12"/>
  <c r="D25" i="12"/>
  <c r="K2" i="12"/>
  <c r="J44" i="12"/>
  <c r="J43" i="12"/>
  <c r="J42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" i="12"/>
  <c r="AE2" i="12"/>
  <c r="R5" i="12"/>
  <c r="P23" i="12"/>
  <c r="K31" i="12"/>
  <c r="R36" i="12"/>
  <c r="T12" i="12"/>
  <c r="P9" i="12"/>
  <c r="L12" i="12"/>
  <c r="AE19" i="12"/>
  <c r="K33" i="12"/>
  <c r="R13" i="12"/>
  <c r="P31" i="12"/>
  <c r="K12" i="12"/>
  <c r="P19" i="12"/>
  <c r="R6" i="12"/>
  <c r="R3" i="12"/>
  <c r="K15" i="12"/>
  <c r="R31" i="12"/>
  <c r="T37" i="12"/>
  <c r="P5" i="12"/>
  <c r="L38" i="12"/>
  <c r="AE27" i="12"/>
  <c r="L17" i="12"/>
  <c r="R12" i="12"/>
  <c r="L16" i="12"/>
  <c r="L4" i="12"/>
  <c r="P32" i="12"/>
  <c r="T24" i="12"/>
  <c r="P13" i="12"/>
  <c r="L20" i="12"/>
  <c r="AE11" i="12"/>
  <c r="P37" i="12"/>
  <c r="AE31" i="12"/>
  <c r="L9" i="12"/>
  <c r="T20" i="12"/>
  <c r="P3" i="12"/>
  <c r="R7" i="12"/>
  <c r="L7" i="12"/>
  <c r="AE25" i="12"/>
  <c r="K38" i="12"/>
  <c r="R10" i="12"/>
  <c r="R4" i="12"/>
  <c r="K30" i="12"/>
  <c r="R40" i="12"/>
  <c r="T14" i="12"/>
  <c r="P29" i="12"/>
  <c r="K29" i="12"/>
  <c r="P17" i="12"/>
  <c r="R23" i="12"/>
  <c r="L19" i="12"/>
  <c r="AE29" i="12"/>
  <c r="P15" i="12"/>
  <c r="L40" i="12"/>
  <c r="L22" i="12"/>
  <c r="R24" i="12"/>
  <c r="T4" i="12"/>
  <c r="K34" i="12"/>
  <c r="K24" i="12"/>
  <c r="P25" i="12"/>
  <c r="K6" i="12"/>
  <c r="K40" i="12"/>
  <c r="T35" i="12"/>
  <c r="P38" i="12"/>
  <c r="T26" i="12"/>
  <c r="AE38" i="12"/>
  <c r="L24" i="12"/>
  <c r="K26" i="12"/>
  <c r="K19" i="12"/>
  <c r="R22" i="12"/>
  <c r="L5" i="12"/>
  <c r="K7" i="12"/>
  <c r="P34" i="12"/>
  <c r="T11" i="12"/>
  <c r="P26" i="12"/>
  <c r="K9" i="12"/>
  <c r="T33" i="12"/>
  <c r="AE4" i="12"/>
  <c r="R30" i="12"/>
  <c r="L13" i="12"/>
  <c r="K23" i="12"/>
  <c r="K27" i="12"/>
  <c r="P7" i="12"/>
  <c r="T16" i="12"/>
  <c r="P36" i="12"/>
  <c r="L14" i="12"/>
  <c r="T7" i="12"/>
  <c r="P22" i="12"/>
  <c r="K5" i="12"/>
  <c r="T18" i="12"/>
  <c r="K16" i="12"/>
  <c r="R11" i="12"/>
  <c r="L11" i="12"/>
  <c r="AE17" i="12"/>
  <c r="L33" i="12"/>
  <c r="T15" i="12"/>
  <c r="P30" i="12"/>
  <c r="K13" i="12"/>
  <c r="R19" i="12"/>
  <c r="L23" i="12"/>
  <c r="T25" i="12"/>
  <c r="K39" i="12"/>
  <c r="P24" i="12"/>
  <c r="T6" i="12"/>
  <c r="P21" i="12"/>
  <c r="K21" i="12"/>
  <c r="T19" i="12"/>
  <c r="T9" i="12"/>
  <c r="R27" i="12"/>
  <c r="L10" i="12"/>
  <c r="AE15" i="12"/>
  <c r="L34" i="12"/>
  <c r="T31" i="12"/>
  <c r="P28" i="12"/>
  <c r="K18" i="12"/>
  <c r="L32" i="12"/>
  <c r="L6" i="12"/>
  <c r="R9" i="12"/>
  <c r="K3" i="12"/>
  <c r="P4" i="12"/>
  <c r="R39" i="12"/>
  <c r="K17" i="12"/>
  <c r="P8" i="12"/>
  <c r="R33" i="12"/>
  <c r="L30" i="12"/>
  <c r="R8" i="12"/>
  <c r="P39" i="12"/>
  <c r="R32" i="12"/>
  <c r="T36" i="12"/>
  <c r="R29" i="12"/>
  <c r="AE23" i="12"/>
  <c r="R26" i="12"/>
  <c r="T23" i="12"/>
  <c r="R35" i="12"/>
  <c r="L27" i="12"/>
  <c r="R20" i="12"/>
  <c r="K32" i="12"/>
  <c r="T13" i="12"/>
  <c r="T21" i="12"/>
  <c r="T38" i="12"/>
  <c r="P6" i="12"/>
  <c r="L39" i="12"/>
  <c r="T17" i="12"/>
  <c r="AE5" i="12"/>
  <c r="R16" i="12"/>
  <c r="L25" i="12"/>
  <c r="K20" i="12"/>
  <c r="P40" i="12"/>
  <c r="T28" i="12"/>
  <c r="P14" i="12"/>
  <c r="L28" i="12"/>
  <c r="R18" i="12"/>
  <c r="T5" i="12"/>
  <c r="K37" i="12"/>
  <c r="L26" i="12"/>
  <c r="T30" i="12"/>
  <c r="P18" i="12"/>
  <c r="R38" i="12"/>
  <c r="L21" i="12"/>
  <c r="K8" i="12"/>
  <c r="P35" i="12"/>
  <c r="T27" i="12"/>
  <c r="P16" i="12"/>
  <c r="K14" i="12"/>
  <c r="R34" i="12"/>
  <c r="T3" i="12"/>
  <c r="R28" i="12"/>
  <c r="L29" i="12"/>
  <c r="K28" i="12"/>
  <c r="T39" i="12"/>
  <c r="P33" i="12"/>
  <c r="P27" i="12"/>
  <c r="L35" i="12"/>
  <c r="AE7" i="12"/>
  <c r="R37" i="12"/>
  <c r="L37" i="12"/>
  <c r="K4" i="12"/>
  <c r="L18" i="12"/>
  <c r="T8" i="12"/>
  <c r="P11" i="12"/>
  <c r="K11" i="12"/>
  <c r="T40" i="12"/>
  <c r="L3" i="12"/>
  <c r="R15" i="12"/>
  <c r="L15" i="12"/>
  <c r="T34" i="12"/>
  <c r="T22" i="12"/>
  <c r="T32" i="12"/>
  <c r="L8" i="12"/>
  <c r="R14" i="12"/>
  <c r="R17" i="12"/>
  <c r="AE9" i="12"/>
  <c r="R25" i="12"/>
  <c r="K36" i="12"/>
  <c r="T29" i="12"/>
  <c r="AE21" i="12"/>
  <c r="K22" i="12"/>
  <c r="AE13" i="12"/>
  <c r="R21" i="12"/>
  <c r="T10" i="12"/>
  <c r="K25" i="12"/>
  <c r="P20" i="12"/>
  <c r="L36" i="12"/>
  <c r="L31" i="12"/>
  <c r="K10" i="12"/>
  <c r="P12" i="12"/>
  <c r="K35" i="12"/>
  <c r="AE36" i="12"/>
  <c r="P10" i="12"/>
  <c r="N35" i="12"/>
  <c r="N15" i="12"/>
  <c r="N29" i="12"/>
  <c r="N23" i="12"/>
  <c r="N3" i="12"/>
  <c r="N26" i="12"/>
  <c r="N28" i="12"/>
  <c r="N22" i="12"/>
  <c r="N25" i="12"/>
  <c r="N21" i="12"/>
  <c r="N20" i="12"/>
  <c r="N6" i="12"/>
  <c r="N19" i="12"/>
  <c r="N18" i="12"/>
  <c r="N40" i="12"/>
  <c r="N37" i="12"/>
  <c r="N36" i="12"/>
  <c r="N4" i="12"/>
  <c r="N12" i="12"/>
  <c r="N8" i="12"/>
  <c r="N14" i="12"/>
  <c r="N39" i="12"/>
  <c r="N16" i="12"/>
  <c r="N13" i="12"/>
  <c r="N5" i="12"/>
  <c r="N24" i="12"/>
  <c r="N7" i="12"/>
  <c r="N10" i="12"/>
  <c r="N34" i="12"/>
  <c r="N31" i="12"/>
  <c r="N17" i="12"/>
  <c r="N38" i="12"/>
  <c r="N33" i="12"/>
  <c r="N30" i="12"/>
  <c r="N27" i="12"/>
  <c r="N9" i="12"/>
  <c r="N32" i="12"/>
  <c r="N11" i="12"/>
  <c r="K43" i="12" l="1"/>
  <c r="K42" i="12"/>
  <c r="K44" i="12"/>
  <c r="L43" i="12"/>
  <c r="L42" i="12"/>
  <c r="L44" i="12"/>
  <c r="L46" i="12"/>
  <c r="N44" i="12"/>
  <c r="N43" i="12"/>
  <c r="O43" i="12" s="1"/>
  <c r="N42" i="12"/>
  <c r="O42" i="12" s="1"/>
  <c r="N46" i="12"/>
  <c r="P43" i="12"/>
  <c r="Q43" i="12" s="1"/>
  <c r="P42" i="12"/>
  <c r="P44" i="12"/>
  <c r="P46" i="12"/>
  <c r="R43" i="12"/>
  <c r="S43" i="12" s="1"/>
  <c r="R42" i="12"/>
  <c r="R44" i="12"/>
  <c r="R46" i="12"/>
  <c r="T43" i="12"/>
  <c r="U43" i="12" s="1"/>
  <c r="T42" i="12"/>
  <c r="T44" i="12"/>
  <c r="T46" i="12"/>
  <c r="M4" i="12"/>
  <c r="M40" i="12"/>
  <c r="M28" i="12"/>
  <c r="M8" i="12"/>
  <c r="M39" i="12"/>
  <c r="M35" i="12"/>
  <c r="M31" i="12"/>
  <c r="M27" i="12"/>
  <c r="M23" i="12"/>
  <c r="M19" i="12"/>
  <c r="M15" i="12"/>
  <c r="M11" i="12"/>
  <c r="M7" i="12"/>
  <c r="M32" i="12"/>
  <c r="M20" i="12"/>
  <c r="M12" i="12"/>
  <c r="M38" i="12"/>
  <c r="M34" i="12"/>
  <c r="M30" i="12"/>
  <c r="M26" i="12"/>
  <c r="M22" i="12"/>
  <c r="M18" i="12"/>
  <c r="M14" i="12"/>
  <c r="M10" i="12"/>
  <c r="M6" i="12"/>
  <c r="M36" i="12"/>
  <c r="M24" i="12"/>
  <c r="M16" i="12"/>
  <c r="M37" i="12"/>
  <c r="M33" i="12"/>
  <c r="M29" i="12"/>
  <c r="M25" i="12"/>
  <c r="M21" i="12"/>
  <c r="M17" i="12"/>
  <c r="M13" i="12"/>
  <c r="M9" i="12"/>
  <c r="M5" i="12"/>
  <c r="O4" i="12"/>
  <c r="Q4" i="12"/>
  <c r="S4" i="12"/>
  <c r="U4" i="12"/>
  <c r="O36" i="12"/>
  <c r="O24" i="12"/>
  <c r="O8" i="12"/>
  <c r="O39" i="12"/>
  <c r="O35" i="12"/>
  <c r="O31" i="12"/>
  <c r="O27" i="12"/>
  <c r="O23" i="12"/>
  <c r="O19" i="12"/>
  <c r="O15" i="12"/>
  <c r="O11" i="12"/>
  <c r="O7" i="12"/>
  <c r="O40" i="12"/>
  <c r="O28" i="12"/>
  <c r="O16" i="12"/>
  <c r="O38" i="12"/>
  <c r="O34" i="12"/>
  <c r="O30" i="12"/>
  <c r="O26" i="12"/>
  <c r="O22" i="12"/>
  <c r="O18" i="12"/>
  <c r="O14" i="12"/>
  <c r="O10" i="12"/>
  <c r="O6" i="12"/>
  <c r="O32" i="12"/>
  <c r="O20" i="12"/>
  <c r="O12" i="12"/>
  <c r="O37" i="12"/>
  <c r="O33" i="12"/>
  <c r="O29" i="12"/>
  <c r="O25" i="12"/>
  <c r="O21" i="12"/>
  <c r="O17" i="12"/>
  <c r="O13" i="12"/>
  <c r="O9" i="12"/>
  <c r="O5" i="12"/>
  <c r="Q32" i="12"/>
  <c r="Q20" i="12"/>
  <c r="Q8" i="12"/>
  <c r="Q39" i="12"/>
  <c r="Q35" i="12"/>
  <c r="Q31" i="12"/>
  <c r="Q27" i="12"/>
  <c r="Q23" i="12"/>
  <c r="Q19" i="12"/>
  <c r="Q15" i="12"/>
  <c r="Q11" i="12"/>
  <c r="Q7" i="12"/>
  <c r="Q40" i="12"/>
  <c r="Q28" i="12"/>
  <c r="Q16" i="12"/>
  <c r="Q38" i="12"/>
  <c r="Q34" i="12"/>
  <c r="Q30" i="12"/>
  <c r="Q26" i="12"/>
  <c r="Q22" i="12"/>
  <c r="Q18" i="12"/>
  <c r="Q14" i="12"/>
  <c r="Q10" i="12"/>
  <c r="Q6" i="12"/>
  <c r="Q36" i="12"/>
  <c r="Q24" i="12"/>
  <c r="Q12" i="12"/>
  <c r="Q37" i="12"/>
  <c r="Q33" i="12"/>
  <c r="Q29" i="12"/>
  <c r="Q25" i="12"/>
  <c r="Q21" i="12"/>
  <c r="Q17" i="12"/>
  <c r="Q13" i="12"/>
  <c r="Q9" i="12"/>
  <c r="Q5" i="12"/>
  <c r="S40" i="12"/>
  <c r="S24" i="12"/>
  <c r="S8" i="12"/>
  <c r="S39" i="12"/>
  <c r="S35" i="12"/>
  <c r="S31" i="12"/>
  <c r="S27" i="12"/>
  <c r="S23" i="12"/>
  <c r="S19" i="12"/>
  <c r="S15" i="12"/>
  <c r="S11" i="12"/>
  <c r="S7" i="12"/>
  <c r="S32" i="12"/>
  <c r="S28" i="12"/>
  <c r="S16" i="12"/>
  <c r="S38" i="12"/>
  <c r="S34" i="12"/>
  <c r="S30" i="12"/>
  <c r="S26" i="12"/>
  <c r="S22" i="12"/>
  <c r="S18" i="12"/>
  <c r="S14" i="12"/>
  <c r="S10" i="12"/>
  <c r="S6" i="12"/>
  <c r="S36" i="12"/>
  <c r="S20" i="12"/>
  <c r="S12" i="12"/>
  <c r="S37" i="12"/>
  <c r="S33" i="12"/>
  <c r="S29" i="12"/>
  <c r="S25" i="12"/>
  <c r="S21" i="12"/>
  <c r="S17" i="12"/>
  <c r="S13" i="12"/>
  <c r="S9" i="12"/>
  <c r="S5" i="12"/>
  <c r="U32" i="12"/>
  <c r="U20" i="12"/>
  <c r="U8" i="12"/>
  <c r="U39" i="12"/>
  <c r="U35" i="12"/>
  <c r="U31" i="12"/>
  <c r="U27" i="12"/>
  <c r="U23" i="12"/>
  <c r="U19" i="12"/>
  <c r="U15" i="12"/>
  <c r="U11" i="12"/>
  <c r="U7" i="12"/>
  <c r="U40" i="12"/>
  <c r="U28" i="12"/>
  <c r="U16" i="12"/>
  <c r="U38" i="12"/>
  <c r="U34" i="12"/>
  <c r="U30" i="12"/>
  <c r="U26" i="12"/>
  <c r="U22" i="12"/>
  <c r="U18" i="12"/>
  <c r="U14" i="12"/>
  <c r="U10" i="12"/>
  <c r="U6" i="12"/>
  <c r="U36" i="12"/>
  <c r="U24" i="12"/>
  <c r="U12" i="12"/>
  <c r="U37" i="12"/>
  <c r="U33" i="12"/>
  <c r="U29" i="12"/>
  <c r="U25" i="12"/>
  <c r="U21" i="12"/>
  <c r="U17" i="12"/>
  <c r="U13" i="12"/>
  <c r="U9" i="12"/>
  <c r="U5" i="12"/>
  <c r="AF38" i="12"/>
  <c r="AE45" i="12"/>
  <c r="AF4" i="12"/>
  <c r="AF5" i="12"/>
  <c r="AF7" i="12"/>
  <c r="AF9" i="12"/>
  <c r="AF11" i="12"/>
  <c r="AF13" i="12"/>
  <c r="AF15" i="12"/>
  <c r="AF17" i="12"/>
  <c r="AF19" i="12"/>
  <c r="AF21" i="12"/>
  <c r="AF23" i="12"/>
  <c r="AF25" i="12"/>
  <c r="AF27" i="12"/>
  <c r="AF29" i="12"/>
  <c r="AF31" i="12"/>
  <c r="AF36" i="12"/>
  <c r="K46" i="12"/>
  <c r="O44" i="12" l="1"/>
  <c r="M43" i="12"/>
  <c r="U42" i="12"/>
  <c r="S42" i="12"/>
  <c r="Q42" i="12"/>
  <c r="M42" i="12"/>
  <c r="U44" i="12"/>
  <c r="S44" i="12"/>
  <c r="Q44" i="12"/>
  <c r="M44" i="12"/>
  <c r="Q46" i="12"/>
  <c r="S46" i="12"/>
  <c r="U46" i="12"/>
  <c r="M46" i="12"/>
  <c r="O46" i="12"/>
  <c r="AF45" i="12"/>
  <c r="AE28" i="12"/>
  <c r="AI8" i="8"/>
  <c r="AG17" i="8"/>
  <c r="AG15" i="8"/>
  <c r="Z9" i="8"/>
  <c r="Z6" i="8"/>
  <c r="AA6" i="8"/>
  <c r="M17" i="8"/>
  <c r="AE33" i="12"/>
  <c r="AI9" i="8"/>
  <c r="R16" i="8"/>
  <c r="V12" i="8"/>
  <c r="O9" i="8"/>
  <c r="P6" i="8"/>
  <c r="AG16" i="8"/>
  <c r="AL4" i="8"/>
  <c r="L10" i="8"/>
  <c r="H16" i="8"/>
  <c r="Y12" i="8"/>
  <c r="I9" i="8"/>
  <c r="E6" i="8"/>
  <c r="L5" i="8"/>
  <c r="F5" i="8"/>
  <c r="M9" i="8"/>
  <c r="AE14" i="12"/>
  <c r="AI5" i="8"/>
  <c r="N16" i="8"/>
  <c r="R12" i="8"/>
  <c r="K9" i="8"/>
  <c r="G6" i="8"/>
  <c r="AF6" i="8"/>
  <c r="K16" i="8"/>
  <c r="AE32" i="12"/>
  <c r="AI14" i="8"/>
  <c r="C16" i="8"/>
  <c r="M12" i="8"/>
  <c r="AE9" i="8"/>
  <c r="Q6" i="8"/>
  <c r="W15" i="8"/>
  <c r="AL17" i="8"/>
  <c r="L6" i="8"/>
  <c r="AB16" i="8"/>
  <c r="X12" i="8"/>
  <c r="Y9" i="8"/>
  <c r="U6" i="8"/>
  <c r="Z17" i="8"/>
  <c r="AE10" i="12"/>
  <c r="W7" i="8"/>
  <c r="AK6" i="8"/>
  <c r="AD17" i="8"/>
  <c r="AD15" i="8"/>
  <c r="S11" i="8"/>
  <c r="AA7" i="8"/>
  <c r="O5" i="8"/>
  <c r="AK11" i="8"/>
  <c r="F7" i="8"/>
  <c r="AJ3" i="8"/>
  <c r="O17" i="8"/>
  <c r="O15" i="8"/>
  <c r="P11" i="8"/>
  <c r="T7" i="8"/>
  <c r="AJ11" i="8"/>
  <c r="V6" i="8"/>
  <c r="AJ14" i="8"/>
  <c r="I17" i="8"/>
  <c r="I15" i="8"/>
  <c r="B9" i="8"/>
  <c r="B6" i="8"/>
  <c r="C8" i="8"/>
  <c r="I11" i="8"/>
  <c r="H15" i="8"/>
  <c r="K5" i="8"/>
  <c r="AK15" i="8"/>
  <c r="K17" i="8"/>
  <c r="K15" i="8"/>
  <c r="D11" i="8"/>
  <c r="P7" i="8"/>
  <c r="AE5" i="8"/>
  <c r="AJ13" i="8"/>
  <c r="H7" i="8"/>
  <c r="AJ8" i="8"/>
  <c r="AE17" i="8"/>
  <c r="AE15" i="8"/>
  <c r="AF11" i="8"/>
  <c r="E7" i="8"/>
  <c r="L17" i="8"/>
  <c r="X6" i="8"/>
  <c r="AI15" i="8"/>
  <c r="Y17" i="8"/>
  <c r="Y15" i="8"/>
  <c r="R9" i="8"/>
  <c r="R6" i="8"/>
  <c r="AE34" i="12"/>
  <c r="W9" i="8"/>
  <c r="AD12" i="8"/>
  <c r="W12" i="8"/>
  <c r="T6" i="8"/>
  <c r="D6" i="8"/>
  <c r="AJ4" i="8"/>
  <c r="AB11" i="8"/>
  <c r="D5" i="8"/>
  <c r="AC7" i="8"/>
  <c r="T17" i="8"/>
  <c r="U7" i="8"/>
  <c r="AE12" i="12"/>
  <c r="J12" i="8"/>
  <c r="AC9" i="8"/>
  <c r="P17" i="8"/>
  <c r="X5" i="8"/>
  <c r="AJ10" i="8"/>
  <c r="AH7" i="8"/>
  <c r="V16" i="8"/>
  <c r="O6" i="8"/>
  <c r="L4" i="8"/>
  <c r="AC6" i="8"/>
  <c r="AL11" i="8"/>
  <c r="AE16" i="12"/>
  <c r="AK14" i="8"/>
  <c r="D7" i="8"/>
  <c r="AC5" i="8"/>
  <c r="B11" i="8"/>
  <c r="AE11" i="8"/>
  <c r="V11" i="8"/>
  <c r="AL5" i="8"/>
  <c r="S15" i="8"/>
  <c r="N12" i="8"/>
  <c r="AL7" i="8"/>
  <c r="L12" i="8"/>
  <c r="AE16" i="8"/>
  <c r="AE12" i="8"/>
  <c r="AB9" i="8"/>
  <c r="AB6" i="8"/>
  <c r="S5" i="8"/>
  <c r="M15" i="8"/>
  <c r="AL16" i="8"/>
  <c r="L7" i="8"/>
  <c r="X16" i="8"/>
  <c r="T12" i="8"/>
  <c r="U9" i="8"/>
  <c r="E5" i="8"/>
  <c r="N11" i="8"/>
  <c r="AK12" i="8"/>
  <c r="F17" i="8"/>
  <c r="F15" i="8"/>
  <c r="Z11" i="8"/>
  <c r="C7" i="8"/>
  <c r="AH5" i="8"/>
  <c r="AF16" i="8"/>
  <c r="L13" i="8"/>
  <c r="Y6" i="8"/>
  <c r="AL12" i="8"/>
  <c r="L8" i="8"/>
  <c r="T16" i="8"/>
  <c r="P12" i="8"/>
  <c r="Q9" i="8"/>
  <c r="M6" i="8"/>
  <c r="H5" i="8"/>
  <c r="K12" i="8"/>
  <c r="AL13" i="8"/>
  <c r="L3" i="8"/>
  <c r="I16" i="8"/>
  <c r="I12" i="8"/>
  <c r="AH9" i="8"/>
  <c r="AB5" i="8"/>
  <c r="X11" i="8"/>
  <c r="AK9" i="8"/>
  <c r="V17" i="8"/>
  <c r="V15" i="8"/>
  <c r="K11" i="8"/>
  <c r="S7" i="8"/>
  <c r="G5" i="8"/>
  <c r="Z15" i="8"/>
  <c r="J17" i="8"/>
  <c r="V5" i="8"/>
  <c r="AJ6" i="8"/>
  <c r="AF17" i="8"/>
  <c r="AF15" i="8"/>
  <c r="AC11" i="8"/>
  <c r="AG7" i="8"/>
  <c r="U5" i="8"/>
  <c r="D12" i="8"/>
  <c r="I6" i="8"/>
  <c r="AI7" i="8"/>
  <c r="U17" i="8"/>
  <c r="U15" i="8"/>
  <c r="N9" i="8"/>
  <c r="N6" i="8"/>
  <c r="AC17" i="8"/>
  <c r="AE24" i="12"/>
  <c r="AI11" i="8"/>
  <c r="G16" i="8"/>
  <c r="AC12" i="8"/>
  <c r="AF9" i="8"/>
  <c r="AE6" i="8"/>
  <c r="AJ16" i="8"/>
  <c r="F6" i="8"/>
  <c r="Y11" i="8"/>
  <c r="T5" i="8"/>
  <c r="AI3" i="8"/>
  <c r="Q17" i="8"/>
  <c r="Q15" i="8"/>
  <c r="J9" i="8"/>
  <c r="J6" i="8"/>
  <c r="AD6" i="8"/>
  <c r="W17" i="8"/>
  <c r="AE20" i="12"/>
  <c r="AI12" i="8"/>
  <c r="B16" i="8"/>
  <c r="B12" i="8"/>
  <c r="AD9" i="8"/>
  <c r="K6" i="8"/>
  <c r="AA16" i="8"/>
  <c r="AE22" i="12"/>
  <c r="L14" i="8"/>
  <c r="W16" i="8"/>
  <c r="T9" i="8"/>
  <c r="AI17" i="8"/>
  <c r="G9" i="8"/>
  <c r="H11" i="8"/>
  <c r="C9" i="8"/>
  <c r="AB12" i="8"/>
  <c r="P15" i="8"/>
  <c r="L9" i="8"/>
  <c r="E15" i="8"/>
  <c r="G17" i="8"/>
  <c r="Z12" i="8"/>
  <c r="G7" i="8"/>
  <c r="E16" i="8"/>
  <c r="AG5" i="8"/>
  <c r="F12" i="8"/>
  <c r="N7" i="8"/>
  <c r="C17" i="8"/>
  <c r="W5" i="8"/>
  <c r="AL14" i="8"/>
  <c r="J7" i="8"/>
  <c r="AK8" i="8"/>
  <c r="AD7" i="8"/>
  <c r="S17" i="8"/>
  <c r="Q5" i="8"/>
  <c r="AK4" i="8"/>
  <c r="C12" i="8"/>
  <c r="AH16" i="8"/>
  <c r="R11" i="8"/>
  <c r="Z7" i="8"/>
  <c r="Z5" i="8"/>
  <c r="AL3" i="8"/>
  <c r="F9" i="8"/>
  <c r="AK5" i="8"/>
  <c r="R17" i="8"/>
  <c r="R15" i="8"/>
  <c r="C11" i="8"/>
  <c r="O7" i="8"/>
  <c r="AK16" i="8"/>
  <c r="V7" i="8"/>
  <c r="AJ12" i="8"/>
  <c r="D17" i="8"/>
  <c r="D15" i="8"/>
  <c r="E11" i="8"/>
  <c r="I7" i="8"/>
  <c r="P5" i="8"/>
  <c r="H12" i="8"/>
  <c r="P16" i="8"/>
  <c r="M5" i="8"/>
  <c r="AK13" i="8"/>
  <c r="N17" i="8"/>
  <c r="N15" i="8"/>
  <c r="AH11" i="8"/>
  <c r="K7" i="8"/>
  <c r="Y5" i="8"/>
  <c r="AK7" i="8"/>
  <c r="D9" i="8"/>
  <c r="AK10" i="8"/>
  <c r="AH17" i="8"/>
  <c r="AH15" i="8"/>
  <c r="W11" i="8"/>
  <c r="AE7" i="8"/>
  <c r="AJ15" i="8"/>
  <c r="AB7" i="8"/>
  <c r="AJ9" i="8"/>
  <c r="X17" i="8"/>
  <c r="X15" i="8"/>
  <c r="U11" i="8"/>
  <c r="Y7" i="8"/>
  <c r="AF5" i="8"/>
  <c r="AD11" i="8"/>
  <c r="J15" i="8"/>
  <c r="AE6" i="12"/>
  <c r="AI10" i="8"/>
  <c r="AD16" i="8"/>
  <c r="AH12" i="8"/>
  <c r="AA9" i="8"/>
  <c r="W6" i="8"/>
  <c r="AG6" i="8"/>
  <c r="Q16" i="8"/>
  <c r="AE30" i="12"/>
  <c r="L15" i="8"/>
  <c r="S16" i="8"/>
  <c r="S12" i="8"/>
  <c r="P9" i="8"/>
  <c r="N5" i="8"/>
  <c r="AC15" i="8"/>
  <c r="AL6" i="8"/>
  <c r="G11" i="8"/>
  <c r="M16" i="8"/>
  <c r="U12" i="8"/>
  <c r="B7" i="8"/>
  <c r="B5" i="8"/>
  <c r="AB17" i="8"/>
  <c r="AL10" i="8"/>
  <c r="M7" i="8"/>
  <c r="AE8" i="12"/>
  <c r="L16" i="8"/>
  <c r="O16" i="8"/>
  <c r="O12" i="8"/>
  <c r="H9" i="8"/>
  <c r="H6" i="8"/>
  <c r="AD5" i="8"/>
  <c r="G15" i="8"/>
  <c r="AL15" i="8"/>
  <c r="L11" i="8"/>
  <c r="D16" i="8"/>
  <c r="Q12" i="8"/>
  <c r="E9" i="8"/>
  <c r="C5" i="8"/>
  <c r="AA12" i="8"/>
  <c r="AK3" i="8"/>
  <c r="E12" i="8"/>
  <c r="AC16" i="8"/>
  <c r="J11" i="8"/>
  <c r="R7" i="8"/>
  <c r="R5" i="8"/>
  <c r="Z16" i="8"/>
  <c r="AI4" i="8"/>
  <c r="S6" i="8"/>
  <c r="AA15" i="8"/>
  <c r="AF7" i="8"/>
  <c r="AI6" i="8"/>
  <c r="AJ5" i="8"/>
  <c r="Q11" i="8"/>
  <c r="F16" i="8"/>
  <c r="AL8" i="8"/>
  <c r="AJ17" i="8"/>
  <c r="M11" i="8"/>
  <c r="C6" i="8"/>
  <c r="AG11" i="8"/>
  <c r="AI13" i="8"/>
  <c r="AK17" i="8"/>
  <c r="AL9" i="8"/>
  <c r="AG9" i="8"/>
  <c r="Y16" i="8"/>
  <c r="V9" i="8"/>
  <c r="AA11" i="8"/>
  <c r="AB15" i="8"/>
  <c r="G12" i="8"/>
  <c r="J5" i="8"/>
  <c r="B15" i="8"/>
  <c r="AJ7" i="8"/>
  <c r="X7" i="8"/>
  <c r="AA5" i="8"/>
  <c r="AA17" i="8"/>
  <c r="T15" i="8"/>
  <c r="AI16" i="8"/>
  <c r="AH6" i="8"/>
  <c r="I5" i="8"/>
  <c r="Q7" i="8"/>
  <c r="E17" i="8"/>
  <c r="AE26" i="12"/>
  <c r="S9" i="8"/>
  <c r="O11" i="8"/>
  <c r="AF12" i="8"/>
  <c r="AG12" i="8"/>
  <c r="F11" i="8"/>
  <c r="C15" i="8"/>
  <c r="H17" i="8"/>
  <c r="U16" i="8"/>
  <c r="AE18" i="12"/>
  <c r="B17" i="8"/>
  <c r="X9" i="8"/>
  <c r="T11" i="8"/>
  <c r="J16" i="8"/>
  <c r="AF10" i="12" l="1"/>
  <c r="AF34" i="12"/>
  <c r="AF22" i="12"/>
  <c r="AF24" i="12"/>
  <c r="AF26" i="12"/>
  <c r="AE46" i="12"/>
  <c r="AF46" i="12" s="1"/>
  <c r="AF12" i="12"/>
  <c r="AF16" i="12"/>
  <c r="AF30" i="12"/>
  <c r="AF32" i="12"/>
  <c r="AF33" i="12"/>
  <c r="AF20" i="12"/>
  <c r="AF18" i="12"/>
  <c r="AF8" i="12"/>
  <c r="AF6" i="12"/>
  <c r="AF14" i="12"/>
  <c r="AF28" i="12"/>
  <c r="D26" i="3"/>
  <c r="C21" i="3"/>
  <c r="B15" i="3" l="1"/>
  <c r="AF4" i="8"/>
  <c r="AD14" i="8"/>
  <c r="M10" i="8"/>
  <c r="Z13" i="8"/>
  <c r="AE8" i="8"/>
  <c r="M4" i="8"/>
  <c r="H13" i="8"/>
  <c r="R10" i="8"/>
  <c r="AG14" i="8"/>
  <c r="K14" i="8"/>
  <c r="AB13" i="8"/>
  <c r="P3" i="8"/>
  <c r="AE3" i="8"/>
  <c r="R13" i="8"/>
  <c r="T14" i="8"/>
  <c r="N10" i="8"/>
  <c r="J13" i="8"/>
  <c r="O14" i="8"/>
  <c r="AD8" i="8"/>
  <c r="X10" i="8"/>
  <c r="AB8" i="8"/>
  <c r="B3" i="8"/>
  <c r="M8" i="8"/>
  <c r="Z10" i="8"/>
  <c r="AD4" i="8"/>
  <c r="J4" i="8"/>
  <c r="H8" i="8"/>
  <c r="T3" i="8"/>
  <c r="M13" i="8"/>
  <c r="T13" i="8"/>
  <c r="S10" i="8"/>
  <c r="G8" i="8"/>
  <c r="G3" i="8"/>
  <c r="AF14" i="8"/>
  <c r="H3" i="8"/>
  <c r="J8" i="8"/>
  <c r="S8" i="8"/>
  <c r="AD3" i="8"/>
  <c r="F14" i="8"/>
  <c r="K10" i="8"/>
  <c r="Q8" i="8"/>
  <c r="X3" i="8"/>
  <c r="R3" i="8"/>
  <c r="P8" i="8"/>
  <c r="AG3" i="8"/>
  <c r="H14" i="8"/>
  <c r="J14" i="8"/>
  <c r="D13" i="8"/>
  <c r="X8" i="8"/>
  <c r="K13" i="8"/>
  <c r="AH13" i="8"/>
  <c r="Y10" i="8"/>
  <c r="P13" i="8"/>
  <c r="G14" i="8"/>
  <c r="P14" i="8"/>
  <c r="AF10" i="8"/>
  <c r="AA14" i="8"/>
  <c r="AE4" i="8"/>
  <c r="X13" i="8"/>
  <c r="C10" i="8"/>
  <c r="E14" i="8"/>
  <c r="U3" i="8"/>
  <c r="P10" i="8"/>
  <c r="T10" i="8"/>
  <c r="R8" i="8"/>
  <c r="P4" i="8"/>
  <c r="F10" i="8"/>
  <c r="V4" i="8"/>
  <c r="U14" i="8"/>
  <c r="B13" i="8"/>
  <c r="AA4" i="8"/>
  <c r="G13" i="8"/>
  <c r="Q10" i="8"/>
  <c r="T4" i="8"/>
  <c r="E4" i="8"/>
  <c r="K4" i="8"/>
  <c r="V14" i="8"/>
  <c r="H4" i="8"/>
  <c r="M14" i="8"/>
  <c r="Q3" i="8"/>
  <c r="D8" i="8"/>
  <c r="AE13" i="8"/>
  <c r="O4" i="8"/>
  <c r="S3" i="8"/>
  <c r="O10" i="8"/>
  <c r="X14" i="8"/>
  <c r="AC3" i="8"/>
  <c r="AB4" i="8"/>
  <c r="I3" i="8"/>
  <c r="AD10" i="8"/>
  <c r="S13" i="8"/>
  <c r="N8" i="8"/>
  <c r="V3" i="8"/>
  <c r="AF8" i="8"/>
  <c r="W13" i="8"/>
  <c r="W10" i="8"/>
  <c r="T8" i="8"/>
  <c r="AC4" i="8"/>
  <c r="N4" i="8"/>
  <c r="Z14" i="8"/>
  <c r="Q14" i="8"/>
  <c r="I4" i="8"/>
  <c r="AH8" i="8"/>
  <c r="B8" i="8"/>
  <c r="Y14" i="8"/>
  <c r="Y8" i="8"/>
  <c r="Y4" i="8"/>
  <c r="V13" i="8"/>
  <c r="U4" i="8"/>
  <c r="Z3" i="8"/>
  <c r="M3" i="8"/>
  <c r="AA3" i="8"/>
  <c r="E3" i="8"/>
  <c r="N14" i="8"/>
  <c r="AC8" i="8"/>
  <c r="G4" i="8"/>
  <c r="AA13" i="8"/>
  <c r="D10" i="8"/>
  <c r="B14" i="8"/>
  <c r="F3" i="8"/>
  <c r="W4" i="8"/>
  <c r="D4" i="8"/>
  <c r="E10" i="8"/>
  <c r="Z8" i="8"/>
  <c r="I8" i="8"/>
  <c r="B4" i="8"/>
  <c r="C3" i="8"/>
  <c r="W8" i="8"/>
  <c r="U13" i="8"/>
  <c r="AF13" i="8"/>
  <c r="Y13" i="8"/>
  <c r="AF3" i="8"/>
  <c r="AD13" i="8"/>
  <c r="O3" i="8"/>
  <c r="AB10" i="8"/>
  <c r="F8" i="8"/>
  <c r="R14" i="8"/>
  <c r="C14" i="8"/>
  <c r="AG13" i="8"/>
  <c r="AA8" i="8"/>
  <c r="S4" i="8"/>
  <c r="F13" i="8"/>
  <c r="N13" i="8"/>
  <c r="K3" i="8"/>
  <c r="S14" i="8"/>
  <c r="AH4" i="8"/>
  <c r="O13" i="8"/>
  <c r="E8" i="8"/>
  <c r="U8" i="8"/>
  <c r="Y3" i="8"/>
  <c r="AG10" i="8"/>
  <c r="AH14" i="8"/>
  <c r="AH10" i="8"/>
  <c r="AC10" i="8"/>
  <c r="AC13" i="8"/>
  <c r="AA10" i="8"/>
  <c r="U10" i="8"/>
  <c r="AC14" i="8"/>
  <c r="X4" i="8"/>
  <c r="Q13" i="8"/>
  <c r="AB3" i="8"/>
  <c r="N3" i="8"/>
  <c r="AB14" i="8"/>
  <c r="H10" i="8"/>
  <c r="I13" i="8"/>
  <c r="J10" i="8"/>
  <c r="Z4" i="8"/>
  <c r="AE10" i="8"/>
  <c r="G10" i="8"/>
  <c r="F4" i="8"/>
  <c r="W3" i="8"/>
  <c r="V8" i="8"/>
  <c r="D3" i="8"/>
  <c r="AE14" i="8"/>
  <c r="B10" i="8"/>
  <c r="R4" i="8"/>
  <c r="K8" i="8"/>
  <c r="I10" i="8"/>
  <c r="E13" i="8"/>
  <c r="AG4" i="8"/>
  <c r="O8" i="8"/>
  <c r="Q4" i="8"/>
  <c r="J3" i="8"/>
  <c r="V10" i="8"/>
  <c r="AG8" i="8"/>
  <c r="C13" i="8"/>
  <c r="AH3" i="8"/>
  <c r="I14" i="8"/>
  <c r="W14" i="8"/>
  <c r="D14" i="8"/>
  <c r="C4" i="8"/>
  <c r="K3" i="1"/>
  <c r="K6" i="1"/>
  <c r="L35" i="1"/>
  <c r="K26" i="1"/>
  <c r="K5" i="1"/>
  <c r="L14" i="1"/>
  <c r="K22" i="1"/>
  <c r="L6" i="1"/>
  <c r="K16" i="1"/>
  <c r="L26" i="1"/>
  <c r="K35" i="1"/>
  <c r="L9" i="1"/>
  <c r="K25" i="1"/>
  <c r="L10" i="1"/>
  <c r="L11" i="1"/>
  <c r="L8" i="1"/>
  <c r="L32" i="1"/>
  <c r="L28" i="1"/>
  <c r="L18" i="1"/>
  <c r="K28" i="1"/>
  <c r="L15" i="1"/>
  <c r="K15" i="1"/>
  <c r="K21" i="1"/>
  <c r="K23" i="1"/>
  <c r="L22" i="1"/>
  <c r="L3" i="1"/>
  <c r="K11" i="1"/>
  <c r="K19" i="1"/>
  <c r="L29" i="1"/>
  <c r="K33" i="1"/>
  <c r="K10" i="1"/>
  <c r="L7" i="1"/>
  <c r="K31" i="1"/>
  <c r="K4" i="1"/>
  <c r="L4" i="1"/>
  <c r="L19" i="1"/>
  <c r="L20" i="1"/>
  <c r="L31" i="1"/>
  <c r="K30" i="1"/>
  <c r="L16" i="1"/>
  <c r="K29" i="1"/>
  <c r="L25" i="1"/>
  <c r="L5" i="1"/>
  <c r="L13" i="1"/>
  <c r="K12" i="1"/>
  <c r="K8" i="1"/>
  <c r="L30" i="1"/>
  <c r="K20" i="1"/>
  <c r="L27" i="1"/>
  <c r="K7" i="1"/>
  <c r="L34" i="1"/>
  <c r="L17" i="1"/>
  <c r="K13" i="1"/>
  <c r="K34" i="1"/>
  <c r="K18" i="1"/>
  <c r="K27" i="1"/>
  <c r="K14" i="1"/>
  <c r="L12" i="1"/>
  <c r="K17" i="1"/>
  <c r="K9" i="1"/>
  <c r="K24" i="1"/>
  <c r="L24" i="1"/>
  <c r="K32" i="1"/>
  <c r="L21" i="1"/>
  <c r="L33" i="1"/>
  <c r="L23" i="1"/>
  <c r="P6" i="3" l="1"/>
  <c r="O6" i="3"/>
  <c r="M6" i="3"/>
  <c r="P5" i="3"/>
  <c r="M5" i="3"/>
  <c r="M4" i="3"/>
  <c r="L4" i="3"/>
  <c r="O3" i="3"/>
  <c r="M3" i="3"/>
  <c r="P2" i="3"/>
  <c r="O2" i="3"/>
  <c r="M2" i="3"/>
  <c r="L2" i="3"/>
  <c r="L3" i="3" s="1"/>
  <c r="E3" i="3"/>
  <c r="E10" i="3" s="1"/>
  <c r="D3" i="3"/>
  <c r="E9" i="3" s="1"/>
  <c r="E5" i="3" l="1"/>
  <c r="E6" i="3"/>
  <c r="E7" i="3"/>
  <c r="E8" i="3"/>
  <c r="O35" i="1" l="1"/>
  <c r="O34" i="1"/>
  <c r="O33" i="1"/>
  <c r="O32" i="1"/>
  <c r="O31" i="1"/>
  <c r="O30" i="1"/>
  <c r="O29" i="1"/>
  <c r="O28" i="1"/>
  <c r="O27" i="1"/>
  <c r="O26" i="1"/>
  <c r="O25" i="1"/>
  <c r="O24" i="1"/>
  <c r="D26" i="1"/>
  <c r="M35" i="1"/>
  <c r="M34" i="1"/>
  <c r="M33" i="1"/>
  <c r="M32" i="1"/>
  <c r="M31" i="1"/>
  <c r="M30" i="1"/>
  <c r="M29" i="1"/>
  <c r="M28" i="1"/>
  <c r="M27" i="1"/>
  <c r="M26" i="1"/>
  <c r="M25" i="1"/>
  <c r="M23" i="1"/>
  <c r="M22" i="1"/>
  <c r="M21" i="1"/>
  <c r="M20" i="1"/>
  <c r="M19" i="1"/>
  <c r="M18" i="1"/>
  <c r="M17" i="1"/>
  <c r="M16" i="1"/>
  <c r="M15" i="1"/>
  <c r="M14" i="1"/>
  <c r="M13" i="1"/>
  <c r="M12" i="1"/>
  <c r="M10" i="1"/>
  <c r="M9" i="1"/>
  <c r="M8" i="1"/>
  <c r="M7" i="1"/>
  <c r="M6" i="1"/>
  <c r="M5" i="1"/>
  <c r="M4" i="1"/>
  <c r="M3" i="1"/>
  <c r="M24" i="1" l="1"/>
  <c r="D27" i="1"/>
  <c r="D25" i="1"/>
  <c r="P26" i="1" s="1"/>
  <c r="C15" i="6"/>
  <c r="C12" i="6"/>
  <c r="P29" i="1" l="1"/>
  <c r="P25" i="1"/>
  <c r="P30" i="1"/>
  <c r="P35" i="1"/>
  <c r="P24" i="1"/>
  <c r="P27" i="1"/>
  <c r="P33" i="1"/>
  <c r="P31" i="1"/>
  <c r="P34" i="1"/>
  <c r="P28" i="1"/>
  <c r="P32" i="1"/>
  <c r="G5" i="6"/>
  <c r="M11" i="1" l="1"/>
  <c r="J25" i="1" l="1"/>
  <c r="J26" i="1"/>
  <c r="J27" i="1"/>
  <c r="J28" i="1"/>
  <c r="J29" i="1"/>
  <c r="J30" i="1"/>
  <c r="J31" i="1"/>
  <c r="J32" i="1"/>
  <c r="J33" i="1"/>
  <c r="J34" i="1"/>
  <c r="J35" i="1"/>
  <c r="J24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9" i="1"/>
  <c r="J4" i="1"/>
  <c r="J5" i="1"/>
  <c r="J6" i="1"/>
  <c r="J7" i="1"/>
  <c r="J8" i="1"/>
  <c r="J3" i="1"/>
  <c r="L2" i="1"/>
  <c r="E6" i="2" l="1"/>
  <c r="L5" i="3" l="1"/>
  <c r="L6" i="3"/>
</calcChain>
</file>

<file path=xl/sharedStrings.xml><?xml version="1.0" encoding="utf-8"?>
<sst xmlns="http://schemas.openxmlformats.org/spreadsheetml/2006/main" count="663" uniqueCount="273">
  <si>
    <t>Formula</t>
  </si>
  <si>
    <t>NeoSure</t>
  </si>
  <si>
    <t>mL</t>
  </si>
  <si>
    <t>kcal</t>
  </si>
  <si>
    <t>g</t>
  </si>
  <si>
    <t>CHO</t>
  </si>
  <si>
    <t>water</t>
  </si>
  <si>
    <t>fat</t>
  </si>
  <si>
    <t>protein</t>
  </si>
  <si>
    <t>calories</t>
  </si>
  <si>
    <t>linoleic acid</t>
  </si>
  <si>
    <t>mg</t>
  </si>
  <si>
    <t>vit A</t>
  </si>
  <si>
    <t>IU</t>
  </si>
  <si>
    <t>vit D</t>
  </si>
  <si>
    <t>vit E</t>
  </si>
  <si>
    <t>vit K</t>
  </si>
  <si>
    <t>mcg</t>
  </si>
  <si>
    <t>thiamin</t>
  </si>
  <si>
    <t>riboflavin</t>
  </si>
  <si>
    <t>vit B6</t>
  </si>
  <si>
    <t>vit B12</t>
  </si>
  <si>
    <t>niacin</t>
  </si>
  <si>
    <t>folic acid</t>
  </si>
  <si>
    <t>pantothenic acid</t>
  </si>
  <si>
    <t>biotin</t>
  </si>
  <si>
    <t>vit C</t>
  </si>
  <si>
    <t>choline</t>
  </si>
  <si>
    <t>inositol</t>
  </si>
  <si>
    <t>calcium</t>
  </si>
  <si>
    <t>phosphorus</t>
  </si>
  <si>
    <t>magnesium</t>
  </si>
  <si>
    <t>iron</t>
  </si>
  <si>
    <t>zinc</t>
  </si>
  <si>
    <t>manganese</t>
  </si>
  <si>
    <t>copper</t>
  </si>
  <si>
    <t>iodine</t>
  </si>
  <si>
    <t>selenium</t>
  </si>
  <si>
    <t>sodium</t>
  </si>
  <si>
    <t>potassium</t>
  </si>
  <si>
    <t>chloride</t>
  </si>
  <si>
    <t>Serving Vol</t>
  </si>
  <si>
    <t>Serving Unit</t>
  </si>
  <si>
    <t>mL_equiv</t>
  </si>
  <si>
    <t>unit</t>
  </si>
  <si>
    <t>dL</t>
  </si>
  <si>
    <t>L</t>
  </si>
  <si>
    <t>oz</t>
  </si>
  <si>
    <t>nutrient</t>
  </si>
  <si>
    <t>units</t>
  </si>
  <si>
    <t xml:space="preserve">Volume: </t>
  </si>
  <si>
    <t xml:space="preserve">Formula: </t>
  </si>
  <si>
    <t xml:space="preserve">Units: </t>
  </si>
  <si>
    <t>VITAMINS</t>
  </si>
  <si>
    <t>MINERALS</t>
  </si>
  <si>
    <t>NUTRIENTS</t>
  </si>
  <si>
    <t>valence</t>
  </si>
  <si>
    <t>sulfur</t>
  </si>
  <si>
    <t>sulfate</t>
  </si>
  <si>
    <t xml:space="preserve">StartUnit: </t>
  </si>
  <si>
    <t xml:space="preserve">EndUnit: </t>
  </si>
  <si>
    <t xml:space="preserve">Starting with: </t>
  </si>
  <si>
    <t xml:space="preserve">StartVol: </t>
  </si>
  <si>
    <t xml:space="preserve">Nutrient: </t>
  </si>
  <si>
    <t>in</t>
  </si>
  <si>
    <t xml:space="preserve">Convert to mL: </t>
  </si>
  <si>
    <t xml:space="preserve">Normalize to 1 mL:  </t>
  </si>
  <si>
    <t xml:space="preserve">MidUnit: </t>
  </si>
  <si>
    <t xml:space="preserve">Now to desired unit: </t>
  </si>
  <si>
    <t>unit/mL</t>
  </si>
  <si>
    <t xml:space="preserve">Now to desired vol: </t>
  </si>
  <si>
    <t>INPUTS</t>
  </si>
  <si>
    <t>PARAMETERS</t>
  </si>
  <si>
    <t xml:space="preserve">Weight (kg): </t>
  </si>
  <si>
    <t>unit/kg</t>
  </si>
  <si>
    <t>OUTPUTS</t>
  </si>
  <si>
    <t>INPUT VARIABLES</t>
  </si>
  <si>
    <t>OUTPUT</t>
  </si>
  <si>
    <t>Neosure</t>
  </si>
  <si>
    <t>Cans per month</t>
  </si>
  <si>
    <t>Daily intake</t>
  </si>
  <si>
    <t>Fortification</t>
  </si>
  <si>
    <t>kcal/oz</t>
  </si>
  <si>
    <t>unfortified</t>
  </si>
  <si>
    <t>Days per month</t>
  </si>
  <si>
    <t>Mix ratio</t>
  </si>
  <si>
    <t>mL H2O/scoop</t>
  </si>
  <si>
    <t>Can volume</t>
  </si>
  <si>
    <t>Can unit</t>
  </si>
  <si>
    <t>Scoop volume (g)</t>
  </si>
  <si>
    <t>(lookup)</t>
  </si>
  <si>
    <t>LOOKUP TABLES</t>
  </si>
  <si>
    <t>kcal/oz prepared</t>
  </si>
  <si>
    <t>kcal/g powder</t>
  </si>
  <si>
    <t>g protein/g powder</t>
  </si>
  <si>
    <t>ScoopVol</t>
  </si>
  <si>
    <t>CaloricDensity</t>
  </si>
  <si>
    <t>Fortify22</t>
  </si>
  <si>
    <t>Fortify24</t>
  </si>
  <si>
    <t>Alimentum</t>
  </si>
  <si>
    <t>Elecare</t>
  </si>
  <si>
    <t>Enfacare</t>
  </si>
  <si>
    <t>Enfamil</t>
  </si>
  <si>
    <t>Enfamil AR</t>
  </si>
  <si>
    <t>Enfamil GentleEase</t>
  </si>
  <si>
    <t>Isomil</t>
  </si>
  <si>
    <t>Nutramigen</t>
  </si>
  <si>
    <t>Nutramigen AA</t>
  </si>
  <si>
    <t>Portagen</t>
  </si>
  <si>
    <t>Pregestimil</t>
  </si>
  <si>
    <t>Prosobee</t>
  </si>
  <si>
    <t>Similac Early Shield</t>
  </si>
  <si>
    <t>Similac for Spitup</t>
  </si>
  <si>
    <t>Similac PM 60/40</t>
  </si>
  <si>
    <t>Similac Sensitive</t>
  </si>
  <si>
    <t>Similac Sensitive RS</t>
  </si>
  <si>
    <t>Similac with Iron</t>
  </si>
  <si>
    <t>NUTRIENT CALCULATION DOES NOT ACCOUNT FOR FORTIFICATION</t>
  </si>
  <si>
    <t xml:space="preserve">Intake (mL/kg): </t>
  </si>
  <si>
    <t>mEq/mL</t>
  </si>
  <si>
    <t>mEq/kg</t>
  </si>
  <si>
    <t>formula</t>
  </si>
  <si>
    <t>Ca++</t>
  </si>
  <si>
    <t>Cl-</t>
  </si>
  <si>
    <t>Mg++</t>
  </si>
  <si>
    <t>SO4--</t>
  </si>
  <si>
    <t>aluminum</t>
  </si>
  <si>
    <t>ammonium</t>
  </si>
  <si>
    <t>ferric iron</t>
  </si>
  <si>
    <t>ferrous iron</t>
  </si>
  <si>
    <t>lithium</t>
  </si>
  <si>
    <t>acetate</t>
  </si>
  <si>
    <t>C2H3O2-</t>
  </si>
  <si>
    <t>bicarbonate</t>
  </si>
  <si>
    <t>HCO3-</t>
  </si>
  <si>
    <t>carbonate</t>
  </si>
  <si>
    <t>CO3--</t>
  </si>
  <si>
    <t>citrate</t>
  </si>
  <si>
    <t>C6H5O7---</t>
  </si>
  <si>
    <t>gluconate</t>
  </si>
  <si>
    <t>C6H11O7-</t>
  </si>
  <si>
    <t>lactate</t>
  </si>
  <si>
    <t>C3H5O3-</t>
  </si>
  <si>
    <t>phosphate</t>
  </si>
  <si>
    <t>potassium chloride</t>
  </si>
  <si>
    <t>KCl</t>
  </si>
  <si>
    <t>sodium chloride</t>
  </si>
  <si>
    <t>NaCl</t>
  </si>
  <si>
    <t>Fe+++</t>
  </si>
  <si>
    <t>Fe++</t>
  </si>
  <si>
    <t>Li+</t>
  </si>
  <si>
    <t>Ph-</t>
  </si>
  <si>
    <t>K+</t>
  </si>
  <si>
    <t>Na+</t>
  </si>
  <si>
    <t>g/mol</t>
  </si>
  <si>
    <t>MW</t>
  </si>
  <si>
    <t>Al+++</t>
  </si>
  <si>
    <t>NH4+</t>
  </si>
  <si>
    <t>mEq</t>
  </si>
  <si>
    <t>mmol</t>
  </si>
  <si>
    <t>Amount</t>
  </si>
  <si>
    <t>Substance</t>
  </si>
  <si>
    <t>removed rounding from formula calculations</t>
  </si>
  <si>
    <t>substance</t>
  </si>
  <si>
    <t>Val</t>
  </si>
  <si>
    <t xml:space="preserve"> =(mg*val)/MW</t>
  </si>
  <si>
    <t xml:space="preserve"> =mg/MW</t>
  </si>
  <si>
    <t xml:space="preserve"> =(mEq*MW)/val</t>
  </si>
  <si>
    <t xml:space="preserve"> =mEq/val</t>
  </si>
  <si>
    <t xml:space="preserve"> =mmol*MW</t>
  </si>
  <si>
    <t xml:space="preserve"> =mmol*val</t>
  </si>
  <si>
    <t>built chemistry conversion calculator</t>
  </si>
  <si>
    <t>maybe better done with functions?</t>
  </si>
  <si>
    <t>PO4---</t>
  </si>
  <si>
    <t>S--</t>
  </si>
  <si>
    <t>Zn++</t>
  </si>
  <si>
    <t>ammonia</t>
  </si>
  <si>
    <t>NH3</t>
  </si>
  <si>
    <t>tblChemistry</t>
  </si>
  <si>
    <t>tblVolEquiv</t>
  </si>
  <si>
    <t>tblUnits</t>
  </si>
  <si>
    <t>tblFormula</t>
  </si>
  <si>
    <t>tblFormulaMixing</t>
  </si>
  <si>
    <t>TODO</t>
  </si>
  <si>
    <t>need dry nutrition information for fortification ease</t>
  </si>
  <si>
    <t>molybdenum</t>
  </si>
  <si>
    <t>chromium</t>
  </si>
  <si>
    <t>need tables with normalized data; excel or access?</t>
  </si>
  <si>
    <t>Nutrition calculator</t>
  </si>
  <si>
    <t>kcal/day for given amount of formula</t>
  </si>
  <si>
    <t>fortification recipes</t>
  </si>
  <si>
    <t>formula conversions (can vol, dry powder --&gt; prepared oz, etc)</t>
  </si>
  <si>
    <t>dietary recommendations</t>
  </si>
  <si>
    <t>kcal/kg/day, mL/kg/day</t>
  </si>
  <si>
    <t>CHO/protein/lipids as g/kg/d and kcal/kg/d (and % total kcal)</t>
  </si>
  <si>
    <t>other core nutrients (Na, K, Cl, Ca, Ph, ?acetate, Mg, etc)</t>
  </si>
  <si>
    <t>unit converter (mL &lt;--&gt; fl.oz)</t>
  </si>
  <si>
    <t>fiber needs</t>
  </si>
  <si>
    <t>BMR (basal metabolic rate) calculator</t>
  </si>
  <si>
    <t>Definitions</t>
  </si>
  <si>
    <t>HL, p.497</t>
  </si>
  <si>
    <t>basal metabolic rate (BMR) = rate of energy expenditure after an overnight fast, resting comfortably, supine, awake, and motionless in a thermoneutral environment</t>
  </si>
  <si>
    <t>basal energy expenditure (BEE) = BMR over 24 hours</t>
  </si>
  <si>
    <t>thermic effect of food (TEF) = increase in energy expenditure elicited by food consumption</t>
  </si>
  <si>
    <t xml:space="preserve">energy deposition = energy required for growth </t>
  </si>
  <si>
    <t>total energy expenditure (TEE) = BEE + TEF + physical activity + thermoregulation + energy deposition</t>
  </si>
  <si>
    <t>physical activity level (PAL) = ratio of total to basal daily energy expenditure (TEE?BEE) - describes and accounts for physical activity habits</t>
  </si>
  <si>
    <t>physical activity coefficient (PA) = physical activity coefficient that correlates with PAL (Harriet Lane, table 21-1) can be used to calculate estimated energy requirements (EER)</t>
  </si>
  <si>
    <t>Estimated energy requirements (EER, in kcal/day) = intake predicted to maintain energy balance in a healthy individual; in children, includes needs associated with growth</t>
  </si>
  <si>
    <t>EER = TEE + energy deposition</t>
  </si>
  <si>
    <t>specific equations for various populations on pp 498-499</t>
  </si>
  <si>
    <t>Estimated average requirement (EAR) = daily nutrient intake level estimated to meet the requirement of half the healthy invididuals in a particular life stage/gender</t>
  </si>
  <si>
    <t>Recommended dietary allowance (RDA) = EAR +/- 2 SD; daily nutrient intake level estimated to meet requirements of 97-98% of individuals in a particular life stage/gender</t>
  </si>
  <si>
    <t>Adequate Intake (AI) = observed range of intakes in a healthy population; used when insufficient data to calculate EAR and RDA</t>
  </si>
  <si>
    <t>Tolerable upper intake level (UL): highest daily nutrient intake level likely to pose no risk for adverse health effects to almost all individuals in the general population</t>
  </si>
  <si>
    <t>Fluoride supplementation</t>
  </si>
  <si>
    <t>Vitamin supplementation</t>
  </si>
  <si>
    <t xml:space="preserve">Fortify: </t>
  </si>
  <si>
    <t xml:space="preserve">kcal/oz: </t>
  </si>
  <si>
    <t>Similac Advance 20</t>
  </si>
  <si>
    <t xml:space="preserve">Ca:Ph (mg:mg): </t>
  </si>
  <si>
    <t>Similac Advance 19</t>
  </si>
  <si>
    <t xml:space="preserve">Formula 2: </t>
  </si>
  <si>
    <t xml:space="preserve">Formula 1: </t>
  </si>
  <si>
    <t>% diff</t>
  </si>
  <si>
    <t>Ca:Ph</t>
  </si>
  <si>
    <t>mg:mg</t>
  </si>
  <si>
    <t>&lt;not done&gt;</t>
  </si>
  <si>
    <t>rounds up to nearest can</t>
  </si>
  <si>
    <t>not used</t>
  </si>
  <si>
    <t xml:space="preserve">1 oz = </t>
  </si>
  <si>
    <t xml:space="preserve">mL </t>
  </si>
  <si>
    <t>doesn't account for mcg</t>
  </si>
  <si>
    <t>Similac Special Care 24</t>
  </si>
  <si>
    <t>mEq Ca: mmol Ph</t>
  </si>
  <si>
    <t xml:space="preserve">Ca (mEq/L): </t>
  </si>
  <si>
    <t xml:space="preserve">Ph (mmol/L): </t>
  </si>
  <si>
    <t xml:space="preserve">Ca:Ph ratio: </t>
  </si>
  <si>
    <t>Listed values for Similac Special Care 24;</t>
  </si>
  <si>
    <t>Listed Ca:Ph is 1.81, which you get from simply dividing Ca/Ph in mg (1461/812=1.799261)</t>
  </si>
  <si>
    <t xml:space="preserve">Using mM/mM (molar ratio):  </t>
  </si>
  <si>
    <t>(mEq Ca/2)/mmol Ph</t>
  </si>
  <si>
    <t>Both are wrong. Also, figure out which formula to use.</t>
  </si>
  <si>
    <t>Scoop Vol</t>
  </si>
  <si>
    <t>N/A</t>
  </si>
  <si>
    <t>Enfamil Newborn</t>
  </si>
  <si>
    <t>Enfamil Infant</t>
  </si>
  <si>
    <t>Enfamil Gentlease</t>
  </si>
  <si>
    <t>Similac Sensitive 19</t>
  </si>
  <si>
    <t>Similac Sensitive 20</t>
  </si>
  <si>
    <t>Enfamil A.R.</t>
  </si>
  <si>
    <t>PurAmino</t>
  </si>
  <si>
    <t>carnitine</t>
  </si>
  <si>
    <t>taurine</t>
  </si>
  <si>
    <t>Enfamil EnfaCare</t>
  </si>
  <si>
    <t>PurAmino listed as 9g/scoop (really is 4.5 g/scoop) because the mixing ratio is 2 scoops:2 oz</t>
  </si>
  <si>
    <t>Nutramigen (Liquids)</t>
  </si>
  <si>
    <t>tblNormula</t>
  </si>
  <si>
    <t xml:space="preserve">Base formula: </t>
  </si>
  <si>
    <t xml:space="preserve">Comparison: </t>
  </si>
  <si>
    <t>per kg</t>
  </si>
  <si>
    <t>ml</t>
  </si>
  <si>
    <t>COMPARISONS</t>
  </si>
  <si>
    <t xml:space="preserve">Formula 3: </t>
  </si>
  <si>
    <t xml:space="preserve">Formula 4: </t>
  </si>
  <si>
    <t xml:space="preserve">Formula 5: </t>
  </si>
  <si>
    <t>%</t>
  </si>
  <si>
    <t>Make20</t>
  </si>
  <si>
    <t>Make22</t>
  </si>
  <si>
    <t>Make24</t>
  </si>
  <si>
    <t>Make26</t>
  </si>
  <si>
    <t>2 fluid oz is closer to 59 mL, but 60 mL is used by convention.</t>
  </si>
  <si>
    <t>added fortification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</si>
</sst>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#"/>
    <numFmt numFmtId="166" formatCode="0.0%"/>
  </numFmts>
  <fonts count="11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9"/>
        <bgColor indexed="64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1" fillId="2" borderId="1" applyNumberFormat="0" applyAlignment="0" applyProtection="0"/>
    <xf numFmtId="0" fontId="3" fillId="3" borderId="1" applyNumberFormat="0" applyAlignment="0" applyProtection="0"/>
    <xf numFmtId="0" fontId="2" fillId="4" borderId="3" applyNumberFormat="0" applyAlignment="0" applyProtection="0"/>
    <xf numFmtId="0" fontId="4" fillId="5" borderId="0" applyNumberFormat="0" applyBorder="0" applyAlignment="0" applyProtection="0"/>
    <xf numFmtId="0" fontId="8" fillId="9" borderId="13" applyNumberFormat="0" applyFont="0" applyAlignment="0" applyProtection="0"/>
    <xf numFmtId="0" fontId="4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</cellStyleXfs>
  <cellXfs count="19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1" fillId="2" borderId="1" xfId="1" applyAlignment="1">
      <alignment horizontal="center"/>
    </xf>
    <xf numFmtId="0" fontId="0" fillId="0" borderId="0" xfId="0" applyAlignment="1"/>
    <xf numFmtId="0" fontId="2" fillId="5" borderId="4" xfId="4" applyFont="1" applyBorder="1" applyAlignment="1">
      <alignment horizontal="left"/>
    </xf>
    <xf numFmtId="0" fontId="4" fillId="5" borderId="5" xfId="4" applyBorder="1" applyAlignment="1">
      <alignment horizontal="center"/>
    </xf>
    <xf numFmtId="0" fontId="4" fillId="5" borderId="6" xfId="4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2" fillId="4" borderId="3" xfId="3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right"/>
    </xf>
    <xf numFmtId="0" fontId="3" fillId="3" borderId="1" xfId="2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4" fillId="5" borderId="12" xfId="4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10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7" borderId="0" xfId="0" applyFill="1"/>
    <xf numFmtId="0" fontId="0" fillId="6" borderId="0" xfId="0" applyFill="1" applyBorder="1"/>
    <xf numFmtId="0" fontId="0" fillId="6" borderId="7" xfId="0" applyFill="1" applyBorder="1"/>
    <xf numFmtId="0" fontId="0" fillId="6" borderId="8" xfId="0" applyFill="1" applyBorder="1"/>
    <xf numFmtId="0" fontId="5" fillId="8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 applyAlignment="1">
      <alignment horizontal="center"/>
    </xf>
    <xf numFmtId="2" fontId="0" fillId="0" borderId="0" xfId="0" applyNumberFormat="1" applyBorder="1" applyAlignment="1">
      <alignment horizontal="right"/>
    </xf>
    <xf numFmtId="2" fontId="0" fillId="0" borderId="10" xfId="0" applyNumberFormat="1" applyBorder="1" applyAlignment="1">
      <alignment horizontal="right"/>
    </xf>
    <xf numFmtId="0" fontId="4" fillId="5" borderId="5" xfId="4" applyBorder="1" applyAlignment="1">
      <alignment horizontal="left"/>
    </xf>
    <xf numFmtId="0" fontId="6" fillId="0" borderId="0" xfId="0" applyFont="1"/>
    <xf numFmtId="16" fontId="0" fillId="0" borderId="0" xfId="0" applyNumberFormat="1"/>
    <xf numFmtId="0" fontId="0" fillId="9" borderId="13" xfId="5" applyFont="1"/>
    <xf numFmtId="0" fontId="8" fillId="11" borderId="2" xfId="7" applyBorder="1" applyAlignment="1">
      <alignment horizontal="center"/>
    </xf>
    <xf numFmtId="0" fontId="0" fillId="0" borderId="0" xfId="0" applyBorder="1"/>
    <xf numFmtId="0" fontId="6" fillId="0" borderId="8" xfId="0" applyFont="1" applyBorder="1" applyAlignment="1">
      <alignment horizontal="left"/>
    </xf>
    <xf numFmtId="0" fontId="0" fillId="0" borderId="10" xfId="0" applyBorder="1"/>
    <xf numFmtId="0" fontId="6" fillId="0" borderId="11" xfId="0" applyFont="1" applyBorder="1" applyAlignment="1">
      <alignment horizontal="left"/>
    </xf>
    <xf numFmtId="0" fontId="5" fillId="12" borderId="4" xfId="0" applyFont="1" applyFill="1" applyBorder="1" applyAlignment="1">
      <alignment horizontal="center"/>
    </xf>
    <xf numFmtId="0" fontId="5" fillId="12" borderId="5" xfId="0" applyFont="1" applyFill="1" applyBorder="1" applyAlignment="1">
      <alignment horizontal="center"/>
    </xf>
    <xf numFmtId="0" fontId="0" fillId="12" borderId="6" xfId="0" applyFill="1" applyBorder="1"/>
    <xf numFmtId="0" fontId="0" fillId="12" borderId="7" xfId="0" applyFill="1" applyBorder="1"/>
    <xf numFmtId="0" fontId="0" fillId="12" borderId="0" xfId="0" applyFill="1" applyBorder="1"/>
    <xf numFmtId="0" fontId="0" fillId="12" borderId="8" xfId="0" applyFill="1" applyBorder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 applyBorder="1" applyAlignment="1">
      <alignment horizontal="center"/>
    </xf>
    <xf numFmtId="0" fontId="6" fillId="12" borderId="8" xfId="0" applyFont="1" applyFill="1" applyBorder="1" applyAlignment="1">
      <alignment horizontal="left" indent="1"/>
    </xf>
    <xf numFmtId="0" fontId="6" fillId="12" borderId="0" xfId="0" applyFont="1" applyFill="1" applyBorder="1" applyAlignment="1">
      <alignment horizontal="right"/>
    </xf>
    <xf numFmtId="0" fontId="6" fillId="12" borderId="0" xfId="0" applyFont="1" applyFill="1" applyBorder="1" applyAlignment="1">
      <alignment horizontal="left" indent="1"/>
    </xf>
    <xf numFmtId="0" fontId="1" fillId="2" borderId="1" xfId="1" applyNumberFormat="1" applyBorder="1"/>
    <xf numFmtId="0" fontId="3" fillId="3" borderId="2" xfId="2" applyBorder="1" applyAlignment="1" applyProtection="1">
      <alignment horizontal="center"/>
      <protection locked="0"/>
    </xf>
    <xf numFmtId="0" fontId="0" fillId="12" borderId="7" xfId="0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15" xfId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9" borderId="13" xfId="5" applyFont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" fillId="2" borderId="14" xfId="1" applyBorder="1" applyAlignment="1">
      <alignment horizontal="center"/>
    </xf>
    <xf numFmtId="0" fontId="6" fillId="12" borderId="5" xfId="0" applyFont="1" applyFill="1" applyBorder="1" applyAlignment="1">
      <alignment horizontal="right"/>
    </xf>
    <xf numFmtId="0" fontId="6" fillId="12" borderId="10" xfId="0" applyFont="1" applyFill="1" applyBorder="1" applyAlignment="1">
      <alignment horizontal="right"/>
    </xf>
    <xf numFmtId="0" fontId="6" fillId="12" borderId="17" xfId="0" applyFont="1" applyFill="1" applyBorder="1" applyAlignment="1">
      <alignment horizontal="center"/>
    </xf>
    <xf numFmtId="0" fontId="6" fillId="12" borderId="5" xfId="0" applyFont="1" applyFill="1" applyBorder="1" applyAlignment="1">
      <alignment horizontal="center"/>
    </xf>
    <xf numFmtId="0" fontId="6" fillId="12" borderId="16" xfId="0" applyFont="1" applyFill="1" applyBorder="1" applyAlignment="1">
      <alignment horizontal="center"/>
    </xf>
    <xf numFmtId="0" fontId="6" fillId="12" borderId="10" xfId="0" applyFont="1" applyFill="1" applyBorder="1" applyAlignment="1">
      <alignment horizontal="center"/>
    </xf>
    <xf numFmtId="0" fontId="6" fillId="0" borderId="6" xfId="0" applyFont="1" applyBorder="1" applyAlignment="1">
      <alignment horizontal="left"/>
    </xf>
    <xf numFmtId="0" fontId="4" fillId="10" borderId="0" xfId="6" applyAlignment="1">
      <alignment horizontal="center"/>
    </xf>
    <xf numFmtId="0" fontId="6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5" fillId="9" borderId="13" xfId="5" applyFont="1"/>
    <xf numFmtId="0" fontId="6" fillId="9" borderId="13" xfId="5" applyFont="1" applyAlignment="1">
      <alignment horizontal="center"/>
    </xf>
    <xf numFmtId="0" fontId="7" fillId="9" borderId="13" xfId="5" applyFont="1" applyAlignment="1">
      <alignment horizontal="center"/>
    </xf>
    <xf numFmtId="0" fontId="5" fillId="9" borderId="13" xfId="5" applyFon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right"/>
    </xf>
    <xf numFmtId="0" fontId="3" fillId="3" borderId="1" xfId="2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 applyAlignment="1">
      <alignment horizontal="left"/>
    </xf>
    <xf numFmtId="164" fontId="0" fillId="0" borderId="0" xfId="0" applyNumberFormat="1"/>
    <xf numFmtId="0" fontId="4" fillId="5" borderId="5" xfId="4" applyBorder="1" applyAlignment="1">
      <alignment horizontal="center" wrapText="1"/>
    </xf>
    <xf numFmtId="0" fontId="0" fillId="6" borderId="0" xfId="0" applyFill="1"/>
    <xf numFmtId="165" fontId="0" fillId="0" borderId="8" xfId="0" applyNumberFormat="1" applyBorder="1"/>
    <xf numFmtId="165" fontId="0" fillId="0" borderId="11" xfId="0" applyNumberFormat="1" applyBorder="1"/>
    <xf numFmtId="0" fontId="0" fillId="6" borderId="4" xfId="0" applyFill="1" applyBorder="1" applyAlignment="1">
      <alignment horizontal="right"/>
    </xf>
    <xf numFmtId="0" fontId="3" fillId="3" borderId="15" xfId="2" applyBorder="1"/>
    <xf numFmtId="0" fontId="6" fillId="6" borderId="6" xfId="0" applyFont="1" applyFill="1" applyBorder="1"/>
    <xf numFmtId="0" fontId="0" fillId="6" borderId="7" xfId="0" applyFill="1" applyBorder="1" applyAlignment="1">
      <alignment horizontal="right"/>
    </xf>
    <xf numFmtId="0" fontId="3" fillId="3" borderId="1" xfId="2" applyBorder="1"/>
    <xf numFmtId="0" fontId="6" fillId="6" borderId="8" xfId="0" applyFont="1" applyFill="1" applyBorder="1"/>
    <xf numFmtId="0" fontId="0" fillId="6" borderId="9" xfId="0" applyFill="1" applyBorder="1" applyAlignment="1">
      <alignment horizontal="right"/>
    </xf>
    <xf numFmtId="0" fontId="1" fillId="2" borderId="14" xfId="1" applyBorder="1"/>
    <xf numFmtId="0" fontId="0" fillId="6" borderId="11" xfId="0" applyFill="1" applyBorder="1"/>
    <xf numFmtId="0" fontId="0" fillId="9" borderId="18" xfId="5" applyFont="1" applyBorder="1" applyAlignment="1">
      <alignment horizontal="center"/>
    </xf>
    <xf numFmtId="0" fontId="0" fillId="25" borderId="0" xfId="0" applyFill="1"/>
    <xf numFmtId="0" fontId="5" fillId="25" borderId="13" xfId="5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 wrapText="1"/>
    </xf>
    <xf numFmtId="0" fontId="3" fillId="3" borderId="1" xfId="2"/>
    <xf numFmtId="0" fontId="3" fillId="3" borderId="1" xfId="2" applyAlignment="1">
      <alignment horizontal="left"/>
    </xf>
    <xf numFmtId="0" fontId="3" fillId="3" borderId="1" xfId="2" applyBorder="1" applyAlignment="1">
      <alignment horizontal="left"/>
    </xf>
    <xf numFmtId="0" fontId="2" fillId="5" borderId="4" xfId="4" applyFont="1" applyBorder="1" applyAlignment="1">
      <alignment horizontal="left" wrapText="1"/>
    </xf>
    <xf numFmtId="0" fontId="6" fillId="0" borderId="0" xfId="0" applyFont="1" applyBorder="1" applyAlignment="1">
      <alignment horizontal="center"/>
    </xf>
    <xf numFmtId="0" fontId="0" fillId="0" borderId="7" xfId="0" applyBorder="1"/>
    <xf numFmtId="0" fontId="0" fillId="0" borderId="7" xfId="0" applyFill="1" applyBorder="1"/>
    <xf numFmtId="0" fontId="0" fillId="0" borderId="9" xfId="0" applyFill="1" applyBorder="1"/>
    <xf numFmtId="0" fontId="6" fillId="0" borderId="10" xfId="0" applyFont="1" applyBorder="1" applyAlignment="1">
      <alignment horizontal="center"/>
    </xf>
    <xf numFmtId="0" fontId="8" fillId="14" borderId="0" xfId="9" applyBorder="1" applyAlignment="1">
      <alignment horizontal="right" indent="1"/>
    </xf>
    <xf numFmtId="2" fontId="8" fillId="14" borderId="0" xfId="9" applyNumberFormat="1" applyBorder="1" applyAlignment="1">
      <alignment horizontal="right" indent="1"/>
    </xf>
    <xf numFmtId="2" fontId="8" fillId="14" borderId="10" xfId="9" applyNumberFormat="1" applyBorder="1" applyAlignment="1">
      <alignment horizontal="right" indent="1"/>
    </xf>
    <xf numFmtId="0" fontId="8" fillId="17" borderId="0" xfId="12" applyBorder="1" applyAlignment="1">
      <alignment horizontal="right" indent="1"/>
    </xf>
    <xf numFmtId="2" fontId="8" fillId="17" borderId="0" xfId="12" applyNumberFormat="1" applyBorder="1" applyAlignment="1">
      <alignment horizontal="right" indent="1"/>
    </xf>
    <xf numFmtId="2" fontId="8" fillId="17" borderId="10" xfId="12" applyNumberFormat="1" applyBorder="1" applyAlignment="1">
      <alignment horizontal="right" indent="1"/>
    </xf>
    <xf numFmtId="0" fontId="8" fillId="19" borderId="0" xfId="14" applyBorder="1" applyAlignment="1">
      <alignment horizontal="right" indent="1"/>
    </xf>
    <xf numFmtId="2" fontId="8" fillId="19" borderId="0" xfId="14" applyNumberFormat="1" applyBorder="1" applyAlignment="1">
      <alignment horizontal="right" indent="1"/>
    </xf>
    <xf numFmtId="2" fontId="8" fillId="19" borderId="10" xfId="14" applyNumberFormat="1" applyBorder="1" applyAlignment="1">
      <alignment horizontal="right" indent="1"/>
    </xf>
    <xf numFmtId="0" fontId="8" fillId="21" borderId="0" xfId="16" applyBorder="1" applyAlignment="1">
      <alignment horizontal="right" indent="1"/>
    </xf>
    <xf numFmtId="2" fontId="8" fillId="21" borderId="0" xfId="16" applyNumberFormat="1" applyBorder="1" applyAlignment="1">
      <alignment horizontal="right" indent="1"/>
    </xf>
    <xf numFmtId="2" fontId="8" fillId="21" borderId="10" xfId="16" applyNumberFormat="1" applyBorder="1" applyAlignment="1">
      <alignment horizontal="right" indent="1"/>
    </xf>
    <xf numFmtId="0" fontId="8" fillId="23" borderId="0" xfId="18" applyBorder="1" applyAlignment="1">
      <alignment horizontal="right" indent="1"/>
    </xf>
    <xf numFmtId="2" fontId="8" fillId="23" borderId="0" xfId="18" applyNumberFormat="1" applyBorder="1" applyAlignment="1">
      <alignment horizontal="right" indent="1"/>
    </xf>
    <xf numFmtId="2" fontId="8" fillId="23" borderId="10" xfId="18" applyNumberFormat="1" applyBorder="1" applyAlignment="1">
      <alignment horizontal="right" indent="1"/>
    </xf>
    <xf numFmtId="0" fontId="5" fillId="16" borderId="5" xfId="11" applyFont="1" applyBorder="1" applyAlignment="1">
      <alignment horizontal="center" vertical="center" wrapText="1"/>
    </xf>
    <xf numFmtId="0" fontId="5" fillId="16" borderId="6" xfId="11" applyFont="1" applyBorder="1" applyAlignment="1">
      <alignment horizontal="center" vertical="center" wrapText="1"/>
    </xf>
    <xf numFmtId="0" fontId="5" fillId="18" borderId="5" xfId="13" applyFont="1" applyBorder="1" applyAlignment="1">
      <alignment horizontal="center" vertical="center" wrapText="1"/>
    </xf>
    <xf numFmtId="0" fontId="5" fillId="18" borderId="6" xfId="13" applyFont="1" applyBorder="1" applyAlignment="1">
      <alignment horizontal="center" vertical="center" wrapText="1"/>
    </xf>
    <xf numFmtId="0" fontId="5" fillId="20" borderId="5" xfId="15" applyFont="1" applyBorder="1" applyAlignment="1">
      <alignment horizontal="center" vertical="center" wrapText="1"/>
    </xf>
    <xf numFmtId="0" fontId="5" fillId="20" borderId="6" xfId="15" applyFont="1" applyBorder="1" applyAlignment="1">
      <alignment horizontal="center" vertical="center" wrapText="1"/>
    </xf>
    <xf numFmtId="0" fontId="5" fillId="22" borderId="5" xfId="17" applyFont="1" applyBorder="1" applyAlignment="1">
      <alignment horizontal="center" vertical="center" wrapText="1"/>
    </xf>
    <xf numFmtId="0" fontId="5" fillId="22" borderId="6" xfId="17" applyFont="1" applyBorder="1" applyAlignment="1">
      <alignment horizontal="center" vertical="center" wrapText="1"/>
    </xf>
    <xf numFmtId="0" fontId="5" fillId="24" borderId="5" xfId="19" applyFont="1" applyBorder="1" applyAlignment="1">
      <alignment horizontal="center" vertical="center" wrapText="1"/>
    </xf>
    <xf numFmtId="0" fontId="5" fillId="24" borderId="6" xfId="19" applyFont="1" applyBorder="1" applyAlignment="1">
      <alignment horizontal="center" vertical="center"/>
    </xf>
    <xf numFmtId="0" fontId="2" fillId="5" borderId="23" xfId="4" applyFont="1" applyBorder="1" applyAlignment="1">
      <alignment horizontal="center" vertical="center" wrapText="1"/>
    </xf>
    <xf numFmtId="0" fontId="8" fillId="13" borderId="24" xfId="8" applyBorder="1" applyAlignment="1">
      <alignment horizontal="right" indent="1"/>
    </xf>
    <xf numFmtId="2" fontId="8" fillId="13" borderId="24" xfId="8" applyNumberFormat="1" applyBorder="1" applyAlignment="1">
      <alignment horizontal="right" indent="1"/>
    </xf>
    <xf numFmtId="2" fontId="8" fillId="13" borderId="25" xfId="8" applyNumberFormat="1" applyBorder="1" applyAlignment="1">
      <alignment horizontal="right" indent="1"/>
    </xf>
    <xf numFmtId="0" fontId="0" fillId="0" borderId="26" xfId="0" applyBorder="1"/>
    <xf numFmtId="0" fontId="6" fillId="0" borderId="27" xfId="0" applyFont="1" applyBorder="1" applyAlignment="1">
      <alignment horizontal="center"/>
    </xf>
    <xf numFmtId="2" fontId="8" fillId="13" borderId="28" xfId="8" applyNumberFormat="1" applyBorder="1" applyAlignment="1">
      <alignment horizontal="right" indent="1"/>
    </xf>
    <xf numFmtId="2" fontId="8" fillId="14" borderId="27" xfId="9" applyNumberFormat="1" applyBorder="1" applyAlignment="1">
      <alignment horizontal="right" indent="1"/>
    </xf>
    <xf numFmtId="2" fontId="8" fillId="17" borderId="27" xfId="12" applyNumberFormat="1" applyBorder="1" applyAlignment="1">
      <alignment horizontal="right" indent="1"/>
    </xf>
    <xf numFmtId="2" fontId="8" fillId="19" borderId="27" xfId="14" applyNumberFormat="1" applyBorder="1" applyAlignment="1">
      <alignment horizontal="right" indent="1"/>
    </xf>
    <xf numFmtId="2" fontId="8" fillId="21" borderId="27" xfId="16" applyNumberFormat="1" applyBorder="1" applyAlignment="1">
      <alignment horizontal="right" indent="1"/>
    </xf>
    <xf numFmtId="2" fontId="8" fillId="23" borderId="27" xfId="18" applyNumberFormat="1" applyBorder="1" applyAlignment="1">
      <alignment horizontal="right" indent="1"/>
    </xf>
    <xf numFmtId="0" fontId="0" fillId="0" borderId="26" xfId="0" applyFill="1" applyBorder="1"/>
    <xf numFmtId="0" fontId="6" fillId="13" borderId="22" xfId="8" applyFont="1" applyBorder="1" applyAlignment="1">
      <alignment horizontal="right" indent="1"/>
    </xf>
    <xf numFmtId="166" fontId="10" fillId="14" borderId="8" xfId="9" applyNumberFormat="1" applyFont="1" applyBorder="1" applyAlignment="1">
      <alignment horizontal="right"/>
    </xf>
    <xf numFmtId="166" fontId="10" fillId="14" borderId="29" xfId="9" applyNumberFormat="1" applyFont="1" applyBorder="1" applyAlignment="1">
      <alignment horizontal="right"/>
    </xf>
    <xf numFmtId="166" fontId="10" fillId="14" borderId="11" xfId="9" applyNumberFormat="1" applyFont="1" applyBorder="1" applyAlignment="1">
      <alignment horizontal="right"/>
    </xf>
    <xf numFmtId="166" fontId="10" fillId="17" borderId="8" xfId="12" applyNumberFormat="1" applyFont="1" applyBorder="1" applyAlignment="1">
      <alignment horizontal="right"/>
    </xf>
    <xf numFmtId="166" fontId="10" fillId="17" borderId="29" xfId="12" applyNumberFormat="1" applyFont="1" applyBorder="1" applyAlignment="1">
      <alignment horizontal="right"/>
    </xf>
    <xf numFmtId="166" fontId="10" fillId="17" borderId="11" xfId="12" applyNumberFormat="1" applyFont="1" applyBorder="1" applyAlignment="1">
      <alignment horizontal="right"/>
    </xf>
    <xf numFmtId="166" fontId="10" fillId="19" borderId="8" xfId="14" applyNumberFormat="1" applyFont="1" applyBorder="1" applyAlignment="1">
      <alignment horizontal="right"/>
    </xf>
    <xf numFmtId="166" fontId="10" fillId="19" borderId="29" xfId="14" applyNumberFormat="1" applyFont="1" applyBorder="1" applyAlignment="1">
      <alignment horizontal="right"/>
    </xf>
    <xf numFmtId="166" fontId="10" fillId="19" borderId="11" xfId="14" applyNumberFormat="1" applyFont="1" applyBorder="1" applyAlignment="1">
      <alignment horizontal="right"/>
    </xf>
    <xf numFmtId="166" fontId="10" fillId="21" borderId="8" xfId="16" applyNumberFormat="1" applyFont="1" applyBorder="1" applyAlignment="1">
      <alignment horizontal="right"/>
    </xf>
    <xf numFmtId="166" fontId="10" fillId="21" borderId="29" xfId="16" applyNumberFormat="1" applyFont="1" applyBorder="1" applyAlignment="1">
      <alignment horizontal="right"/>
    </xf>
    <xf numFmtId="166" fontId="10" fillId="21" borderId="11" xfId="16" applyNumberFormat="1" applyFont="1" applyBorder="1" applyAlignment="1">
      <alignment horizontal="right"/>
    </xf>
    <xf numFmtId="166" fontId="10" fillId="23" borderId="8" xfId="18" applyNumberFormat="1" applyFont="1" applyBorder="1" applyAlignment="1">
      <alignment horizontal="right"/>
    </xf>
    <xf numFmtId="166" fontId="10" fillId="23" borderId="29" xfId="18" applyNumberFormat="1" applyFont="1" applyBorder="1" applyAlignment="1">
      <alignment horizontal="right"/>
    </xf>
    <xf numFmtId="166" fontId="10" fillId="23" borderId="11" xfId="18" applyNumberFormat="1" applyFont="1" applyBorder="1" applyAlignment="1">
      <alignment horizontal="right"/>
    </xf>
    <xf numFmtId="0" fontId="9" fillId="5" borderId="7" xfId="4" applyFont="1" applyBorder="1" applyAlignment="1">
      <alignment horizontal="center" vertical="center" textRotation="90"/>
    </xf>
    <xf numFmtId="0" fontId="2" fillId="10" borderId="7" xfId="6" applyFont="1" applyBorder="1" applyAlignment="1">
      <alignment horizontal="center" vertical="center" textRotation="90"/>
    </xf>
    <xf numFmtId="0" fontId="2" fillId="10" borderId="9" xfId="6" applyFont="1" applyBorder="1" applyAlignment="1">
      <alignment horizontal="center" vertical="center" textRotation="90"/>
    </xf>
    <xf numFmtId="0" fontId="6" fillId="21" borderId="32" xfId="16" applyFont="1" applyBorder="1" applyAlignment="1">
      <alignment horizontal="center"/>
    </xf>
    <xf numFmtId="0" fontId="6" fillId="21" borderId="31" xfId="16" applyFont="1" applyBorder="1" applyAlignment="1">
      <alignment horizontal="center"/>
    </xf>
    <xf numFmtId="0" fontId="6" fillId="23" borderId="32" xfId="18" applyFont="1" applyBorder="1" applyAlignment="1">
      <alignment horizontal="center"/>
    </xf>
    <xf numFmtId="0" fontId="6" fillId="23" borderId="31" xfId="18" applyFont="1" applyBorder="1" applyAlignment="1">
      <alignment horizontal="center"/>
    </xf>
    <xf numFmtId="0" fontId="9" fillId="5" borderId="19" xfId="4" applyFont="1" applyBorder="1" applyAlignment="1">
      <alignment horizontal="center" vertical="center" textRotation="90"/>
    </xf>
    <xf numFmtId="0" fontId="2" fillId="10" borderId="19" xfId="6" applyFont="1" applyBorder="1" applyAlignment="1">
      <alignment horizontal="center" vertical="center" textRotation="90"/>
    </xf>
    <xf numFmtId="0" fontId="2" fillId="10" borderId="20" xfId="6" applyFont="1" applyBorder="1" applyAlignment="1">
      <alignment horizontal="center" vertical="center" textRotation="90"/>
    </xf>
    <xf numFmtId="0" fontId="8" fillId="15" borderId="21" xfId="10" applyBorder="1" applyAlignment="1">
      <alignment horizontal="center" vertical="center" textRotation="90"/>
    </xf>
    <xf numFmtId="0" fontId="8" fillId="15" borderId="19" xfId="10" applyBorder="1" applyAlignment="1">
      <alignment horizontal="center" vertical="center" textRotation="90"/>
    </xf>
    <xf numFmtId="0" fontId="8" fillId="15" borderId="20" xfId="10" applyBorder="1" applyAlignment="1">
      <alignment horizontal="center" vertical="center" textRotation="90"/>
    </xf>
    <xf numFmtId="0" fontId="6" fillId="14" borderId="30" xfId="9" applyFont="1" applyBorder="1" applyAlignment="1">
      <alignment horizontal="center"/>
    </xf>
    <xf numFmtId="0" fontId="6" fillId="14" borderId="31" xfId="9" applyFont="1" applyBorder="1" applyAlignment="1">
      <alignment horizontal="center"/>
    </xf>
    <xf numFmtId="0" fontId="6" fillId="17" borderId="32" xfId="12" applyFont="1" applyBorder="1" applyAlignment="1">
      <alignment horizontal="center"/>
    </xf>
    <xf numFmtId="0" fontId="6" fillId="17" borderId="31" xfId="12" applyFont="1" applyBorder="1" applyAlignment="1">
      <alignment horizontal="center"/>
    </xf>
    <xf numFmtId="0" fontId="6" fillId="19" borderId="32" xfId="14" applyFont="1" applyBorder="1" applyAlignment="1">
      <alignment horizontal="center"/>
    </xf>
    <xf numFmtId="0" fontId="6" fillId="19" borderId="31" xfId="14" applyFont="1" applyBorder="1" applyAlignment="1">
      <alignment horizontal="center"/>
    </xf>
  </cellXfs>
  <cellStyles count="20">
    <cellStyle name="20% - Accent1" xfId="8" builtinId="30"/>
    <cellStyle name="20% - Accent2" xfId="9" builtinId="34"/>
    <cellStyle name="20% - Accent3" xfId="12" builtinId="38"/>
    <cellStyle name="20% - Accent4" xfId="14" builtinId="42"/>
    <cellStyle name="20% - Accent5" xfId="16" builtinId="46"/>
    <cellStyle name="20% - Accent6" xfId="18" builtinId="50"/>
    <cellStyle name="40% - Accent2" xfId="10" builtinId="35"/>
    <cellStyle name="40% - Accent5" xfId="7" builtinId="47"/>
    <cellStyle name="60% - Accent2" xfId="11" builtinId="36"/>
    <cellStyle name="60% - Accent3" xfId="13" builtinId="40"/>
    <cellStyle name="60% - Accent4" xfId="15" builtinId="44"/>
    <cellStyle name="60% - Accent5" xfId="17" builtinId="48"/>
    <cellStyle name="60% - Accent6" xfId="19" builtinId="52"/>
    <cellStyle name="Accent1" xfId="4" builtinId="29"/>
    <cellStyle name="Accent2" xfId="6" builtinId="33"/>
    <cellStyle name="Calculation" xfId="1" builtinId="22"/>
    <cellStyle name="Check Cell" xfId="3" builtinId="23"/>
    <cellStyle name="Input" xfId="2" builtinId="20"/>
    <cellStyle name="Normal" xfId="0" builtinId="0"/>
    <cellStyle name="Note" xfId="5" builtinId="10"/>
  </cellStyles>
  <dxfs count="10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5" name="tblFormulaMixing" displayName="tblFormulaMixing" ref="A23:G44" totalsRowShown="0">
  <autoFilter ref="A23:G4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sortState ref="A24:B40">
    <sortCondition ref="A23:A40"/>
  </sortState>
  <tableColumns count="7">
    <tableColumn id="1" name="Formula"/>
    <tableColumn id="2" name="ScoopVol" dataDxfId="107"/>
    <tableColumn id="9" name="CaloricDensity" dataDxfId="106"/>
    <tableColumn id="10" name="kcal" dataDxfId="105"/>
    <tableColumn id="11" name="protein" dataDxfId="104"/>
    <tableColumn id="4" name="Fortify22" dataDxfId="103"/>
    <tableColumn id="5" name="Fortify24" dataDxfId="1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Formula" displayName="tblFormula" ref="A2:AS17" totalsRowShown="0" headerRowDxfId="101" dataDxfId="100">
  <autoFilter ref="A2:AS1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</autoFilter>
  <sortState ref="A3:AS17">
    <sortCondition ref="A2:A17"/>
  </sortState>
  <tableColumns count="45">
    <tableColumn id="1" name="Formula" dataDxfId="99"/>
    <tableColumn id="3" name="Serving Vol" dataDxfId="98"/>
    <tableColumn id="41" name="Serving Unit" dataDxfId="97"/>
    <tableColumn id="38" name="Scoop Vol" dataDxfId="96"/>
    <tableColumn id="2" name="Make20" dataDxfId="95"/>
    <tableColumn id="43" name="Make22" dataDxfId="94"/>
    <tableColumn id="44" name="Make24" dataDxfId="93"/>
    <tableColumn id="45" name="Make26" dataDxfId="92"/>
    <tableColumn id="4" name="calories" dataDxfId="91"/>
    <tableColumn id="5" name="protein" dataDxfId="90"/>
    <tableColumn id="6" name="fat" dataDxfId="89"/>
    <tableColumn id="7" name="CHO" dataDxfId="88"/>
    <tableColumn id="8" name="water" dataDxfId="87"/>
    <tableColumn id="9" name="linoleic acid" dataDxfId="86"/>
    <tableColumn id="10" name="vit A" dataDxfId="85"/>
    <tableColumn id="11" name="vit D" dataDxfId="84"/>
    <tableColumn id="12" name="vit E" dataDxfId="83"/>
    <tableColumn id="13" name="vit K" dataDxfId="82"/>
    <tableColumn id="14" name="thiamin" dataDxfId="81"/>
    <tableColumn id="15" name="riboflavin" dataDxfId="80"/>
    <tableColumn id="16" name="vit B6" dataDxfId="79"/>
    <tableColumn id="17" name="vit B12" dataDxfId="78"/>
    <tableColumn id="18" name="niacin" dataDxfId="77"/>
    <tableColumn id="19" name="folic acid" dataDxfId="76"/>
    <tableColumn id="20" name="pantothenic acid" dataDxfId="75"/>
    <tableColumn id="21" name="biotin" dataDxfId="74"/>
    <tableColumn id="22" name="vit C" dataDxfId="73"/>
    <tableColumn id="23" name="choline" dataDxfId="72"/>
    <tableColumn id="24" name="inositol" dataDxfId="71"/>
    <tableColumn id="25" name="calcium" dataDxfId="70"/>
    <tableColumn id="27" name="phosphorus" dataDxfId="69"/>
    <tableColumn id="28" name="magnesium" dataDxfId="68"/>
    <tableColumn id="29" name="iron" dataDxfId="67"/>
    <tableColumn id="30" name="zinc" dataDxfId="66"/>
    <tableColumn id="31" name="manganese" dataDxfId="65"/>
    <tableColumn id="32" name="copper" dataDxfId="64"/>
    <tableColumn id="33" name="iodine" dataDxfId="63"/>
    <tableColumn id="34" name="selenium" dataDxfId="62"/>
    <tableColumn id="35" name="sodium" dataDxfId="61"/>
    <tableColumn id="37" name="potassium" dataDxfId="60"/>
    <tableColumn id="39" name="chloride" dataDxfId="59"/>
    <tableColumn id="26" name="molybdenum" dataDxfId="58"/>
    <tableColumn id="36" name="chromium" dataDxfId="57"/>
    <tableColumn id="40" name="carnitine" dataDxfId="56"/>
    <tableColumn id="42" name="taurine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blFormulaMixing7" displayName="tblFormulaMixing7" ref="J20:P41" totalsRowShown="0">
  <autoFilter ref="J20:P41"/>
  <sortState ref="J21:K37">
    <sortCondition ref="J23:J40"/>
  </sortState>
  <tableColumns count="7">
    <tableColumn id="1" name="Formula"/>
    <tableColumn id="2" name="ScoopVol" dataDxfId="54"/>
    <tableColumn id="9" name="CaloricDensity" dataDxfId="53"/>
    <tableColumn id="10" name="kcal" dataDxfId="52"/>
    <tableColumn id="11" name="protein" dataDxfId="51"/>
    <tableColumn id="4" name="Fortify22" dataDxfId="50"/>
    <tableColumn id="5" name="Fortify24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Normula" displayName="tblNormula" ref="A2:AL17" totalsRowShown="0">
  <autoFilter ref="A2:AL1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</autoFilter>
  <sortState ref="A3:AH17">
    <sortCondition ref="A2:A17"/>
  </sortState>
  <tableColumns count="38">
    <tableColumn id="1" name="Formula"/>
    <tableColumn id="2" name="calories" dataDxfId="48">
      <calculatedColumnFormula>GetNormed(tblNormula[[#This Row],[Formula]],"calories")</calculatedColumnFormula>
    </tableColumn>
    <tableColumn id="3" name="protein" dataDxfId="47">
      <calculatedColumnFormula>GetNormed(tblNormula[[#This Row],[Formula]],"protein")</calculatedColumnFormula>
    </tableColumn>
    <tableColumn id="4" name="fat" dataDxfId="46">
      <calculatedColumnFormula>GetNormed(tblNormula[[#This Row],[Formula]],"fat")</calculatedColumnFormula>
    </tableColumn>
    <tableColumn id="5" name="CHO" dataDxfId="45">
      <calculatedColumnFormula>GetNormed(tblNormula[[#This Row],[Formula]],"CHO")</calculatedColumnFormula>
    </tableColumn>
    <tableColumn id="6" name="water" dataDxfId="44">
      <calculatedColumnFormula>GetNormed(tblNormula[[#This Row],[Formula]],"water")</calculatedColumnFormula>
    </tableColumn>
    <tableColumn id="7" name="linoleic acid" dataDxfId="43">
      <calculatedColumnFormula>GetNormed(tblNormula[[#This Row],[Formula]],"linoleic acid")</calculatedColumnFormula>
    </tableColumn>
    <tableColumn id="8" name="vit A" dataDxfId="42">
      <calculatedColumnFormula>GetNormed(tblNormula[[#This Row],[Formula]],"vit A")</calculatedColumnFormula>
    </tableColumn>
    <tableColumn id="9" name="vit D" dataDxfId="41">
      <calculatedColumnFormula>GetNormed(tblNormula[[#This Row],[Formula]],"vit D")</calculatedColumnFormula>
    </tableColumn>
    <tableColumn id="10" name="vit E" dataDxfId="40">
      <calculatedColumnFormula>GetNormed(tblNormula[[#This Row],[Formula]],"vit E")</calculatedColumnFormula>
    </tableColumn>
    <tableColumn id="11" name="vit K" dataDxfId="39">
      <calculatedColumnFormula>GetNormed(tblNormula[[#This Row],[Formula]],"vit K")</calculatedColumnFormula>
    </tableColumn>
    <tableColumn id="12" name="thiamin" dataDxfId="38">
      <calculatedColumnFormula>GetNormed(tblNormula[[#This Row],[Formula]],"thiamin")</calculatedColumnFormula>
    </tableColumn>
    <tableColumn id="13" name="riboflavin" dataDxfId="37">
      <calculatedColumnFormula>GetNormed(tblNormula[[#This Row],[Formula]],"riboflavin")</calculatedColumnFormula>
    </tableColumn>
    <tableColumn id="14" name="vit B6" dataDxfId="36">
      <calculatedColumnFormula>GetNormed(tblNormula[[#This Row],[Formula]],"vit B6")</calculatedColumnFormula>
    </tableColumn>
    <tableColumn id="15" name="vit B12" dataDxfId="35">
      <calculatedColumnFormula>GetNormed(tblNormula[[#This Row],[Formula]],"vit B12")</calculatedColumnFormula>
    </tableColumn>
    <tableColumn id="16" name="niacin" dataDxfId="34">
      <calculatedColumnFormula>GetNormed(tblNormula[[#This Row],[Formula]],"niacin")</calculatedColumnFormula>
    </tableColumn>
    <tableColumn id="17" name="folic acid" dataDxfId="33">
      <calculatedColumnFormula>GetNormed(tblNormula[[#This Row],[Formula]],"folic acid")</calculatedColumnFormula>
    </tableColumn>
    <tableColumn id="18" name="pantothenic acid" dataDxfId="32">
      <calculatedColumnFormula>GetNormed(tblNormula[[#This Row],[Formula]],"pantothenic acid")</calculatedColumnFormula>
    </tableColumn>
    <tableColumn id="19" name="biotin" dataDxfId="31">
      <calculatedColumnFormula>GetNormed(tblNormula[[#This Row],[Formula]],"biotin")</calculatedColumnFormula>
    </tableColumn>
    <tableColumn id="20" name="vit C" dataDxfId="30">
      <calculatedColumnFormula>GetNormed(tblNormula[[#This Row],[Formula]],"vit C")</calculatedColumnFormula>
    </tableColumn>
    <tableColumn id="21" name="choline" dataDxfId="29">
      <calculatedColumnFormula>GetNormed(tblNormula[[#This Row],[Formula]],"choline")</calculatedColumnFormula>
    </tableColumn>
    <tableColumn id="22" name="inositol" dataDxfId="28">
      <calculatedColumnFormula>GetNormed(tblNormula[[#This Row],[Formula]],"inositol")</calculatedColumnFormula>
    </tableColumn>
    <tableColumn id="23" name="calcium" dataDxfId="27">
      <calculatedColumnFormula>GetNormed(tblNormula[[#This Row],[Formula]],"calcium")</calculatedColumnFormula>
    </tableColumn>
    <tableColumn id="24" name="phosphorus" dataDxfId="26">
      <calculatedColumnFormula>GetNormed(tblNormula[[#This Row],[Formula]],"phosphorus")</calculatedColumnFormula>
    </tableColumn>
    <tableColumn id="25" name="magnesium" dataDxfId="25">
      <calculatedColumnFormula>GetNormed(tblNormula[[#This Row],[Formula]],"magnesium")</calculatedColumnFormula>
    </tableColumn>
    <tableColumn id="26" name="iron" dataDxfId="24">
      <calculatedColumnFormula>GetNormed(tblNormula[[#This Row],[Formula]],"iron")</calculatedColumnFormula>
    </tableColumn>
    <tableColumn id="27" name="zinc" dataDxfId="23">
      <calculatedColumnFormula>GetNormed(tblNormula[[#This Row],[Formula]],"zinc")</calculatedColumnFormula>
    </tableColumn>
    <tableColumn id="28" name="manganese" dataDxfId="22">
      <calculatedColumnFormula>GetNormed(tblNormula[[#This Row],[Formula]],"manganese")</calculatedColumnFormula>
    </tableColumn>
    <tableColumn id="29" name="copper" dataDxfId="21">
      <calculatedColumnFormula>GetNormed(tblNormula[[#This Row],[Formula]],"copper")</calculatedColumnFormula>
    </tableColumn>
    <tableColumn id="30" name="iodine" dataDxfId="20">
      <calculatedColumnFormula>GetNormed(tblNormula[[#This Row],[Formula]],"iodine")</calculatedColumnFormula>
    </tableColumn>
    <tableColumn id="31" name="selenium" dataDxfId="19">
      <calculatedColumnFormula>GetNormed(tblNormula[[#This Row],[Formula]],"selenium")</calculatedColumnFormula>
    </tableColumn>
    <tableColumn id="32" name="sodium" dataDxfId="18">
      <calculatedColumnFormula>GetNormed(tblNormula[[#This Row],[Formula]],"sodium")</calculatedColumnFormula>
    </tableColumn>
    <tableColumn id="33" name="potassium" dataDxfId="17">
      <calculatedColumnFormula>GetNormed(tblNormula[[#This Row],[Formula]],"potassium")</calculatedColumnFormula>
    </tableColumn>
    <tableColumn id="34" name="chloride" dataDxfId="16">
      <calculatedColumnFormula>GetNormed(tblNormula[[#This Row],[Formula]],"chloride")</calculatedColumnFormula>
    </tableColumn>
    <tableColumn id="35" name="molybdenum" dataDxfId="15">
      <calculatedColumnFormula>GetNormed(tblNormula[[#This Row],[Formula]],"molybdenum")</calculatedColumnFormula>
    </tableColumn>
    <tableColumn id="36" name="chromium" dataDxfId="14">
      <calculatedColumnFormula>GetNormed(tblNormula[[#This Row],[Formula]],"chromium")</calculatedColumnFormula>
    </tableColumn>
    <tableColumn id="37" name="carnitine" dataDxfId="13">
      <calculatedColumnFormula>GetNormed(tblNormula[[#This Row],[Formula]],"carnitine")</calculatedColumnFormula>
    </tableColumn>
    <tableColumn id="38" name="taurine" dataDxfId="12">
      <calculatedColumnFormula>GetNormed(tblNormula[[#This Row],[Formula]],"taurine")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blUnits" displayName="tblUnits" ref="A2:B39" totalsRowShown="0">
  <autoFilter ref="A2:B39"/>
  <tableColumns count="2">
    <tableColumn id="1" name="nutrient" dataDxfId="11"/>
    <tableColumn id="2" name="units" dataDxfId="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tblVolEquiv" displayName="tblVolEquiv" ref="D2:E6" totalsRowShown="0" headerRowDxfId="9" dataDxfId="8">
  <autoFilter ref="D2:E6"/>
  <tableColumns count="2">
    <tableColumn id="1" name="unit" dataDxfId="7"/>
    <tableColumn id="2" name="mL_equiv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Chemistry" displayName="tblChemistry" ref="G2:J26" totalsRowShown="0" headerRowDxfId="5" dataDxfId="4">
  <autoFilter ref="G2:J26"/>
  <sortState ref="G3:K26">
    <sortCondition ref="G1:G25"/>
  </sortState>
  <tableColumns count="4">
    <tableColumn id="1" name="substance" dataDxfId="3"/>
    <tableColumn id="5" name="formula" dataDxfId="2"/>
    <tableColumn id="2" name="MW" dataDxfId="1"/>
    <tableColumn id="3" name="vale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9"/>
  <sheetViews>
    <sheetView tabSelected="1" workbookViewId="0">
      <selection activeCell="D4" sqref="D4"/>
    </sheetView>
  </sheetViews>
  <sheetFormatPr defaultColWidth="9.140625" defaultRowHeight="15" x14ac:dyDescent="0.25"/>
  <cols>
    <col min="1" max="2" width="4.140625" style="1" customWidth="1"/>
    <col min="3" max="3" width="15.5703125" style="1" customWidth="1"/>
    <col min="4" max="4" width="16.85546875" style="1" customWidth="1"/>
    <col min="5" max="5" width="3" style="1" customWidth="1"/>
    <col min="6" max="6" width="3.140625" style="1" customWidth="1"/>
    <col min="7" max="7" width="3.28515625" style="1" customWidth="1"/>
    <col min="8" max="8" width="3.42578125" style="1" customWidth="1"/>
    <col min="9" max="9" width="15.7109375" style="1" customWidth="1"/>
    <col min="10" max="10" width="5.85546875" style="1" customWidth="1"/>
    <col min="11" max="11" width="12.140625" style="1" customWidth="1"/>
    <col min="12" max="12" width="11.5703125" style="1" customWidth="1"/>
    <col min="13" max="13" width="10.42578125" style="1" customWidth="1"/>
    <col min="14" max="14" width="10" style="1" customWidth="1"/>
    <col min="15" max="15" width="9.7109375" style="1" customWidth="1"/>
    <col min="16" max="16" width="9" style="1" customWidth="1"/>
    <col min="17" max="17" width="9.42578125" style="1" customWidth="1"/>
    <col min="18" max="18" width="16.42578125" style="1" customWidth="1"/>
    <col min="19" max="19" width="11.42578125" style="1" customWidth="1"/>
    <col min="20" max="20" width="13.42578125" style="1" customWidth="1"/>
    <col min="21" max="21" width="11" style="1" customWidth="1"/>
    <col min="22" max="22" width="12" style="1" customWidth="1"/>
    <col min="23" max="23" width="13.5703125" style="1" customWidth="1"/>
    <col min="24" max="24" width="9.28515625" style="1" bestFit="1" customWidth="1"/>
    <col min="25" max="25" width="9.7109375" style="1" customWidth="1"/>
    <col min="26" max="16384" width="9.140625" style="1"/>
  </cols>
  <sheetData>
    <row r="1" spans="1:24" x14ac:dyDescent="0.25">
      <c r="F1"/>
      <c r="Q1"/>
      <c r="R1"/>
      <c r="S1"/>
      <c r="T1"/>
      <c r="U1"/>
      <c r="V1"/>
      <c r="W1"/>
      <c r="X1"/>
    </row>
    <row r="2" spans="1:24" ht="15.75" thickBot="1" x14ac:dyDescent="0.3">
      <c r="A2"/>
      <c r="B2" s="11"/>
      <c r="C2" s="12"/>
      <c r="D2" s="12"/>
      <c r="E2" s="13"/>
      <c r="F2"/>
      <c r="I2" s="6" t="s">
        <v>55</v>
      </c>
      <c r="J2" s="41" t="s">
        <v>49</v>
      </c>
      <c r="K2" s="7" t="s">
        <v>69</v>
      </c>
      <c r="L2" s="23" t="str">
        <f>CONCATENATE(" in ",desired_vol," ",desired_units," ")</f>
        <v xml:space="preserve"> in 450 mL </v>
      </c>
      <c r="M2" s="8" t="s">
        <v>74</v>
      </c>
      <c r="Q2"/>
      <c r="R2"/>
      <c r="S2"/>
      <c r="T2"/>
      <c r="U2"/>
      <c r="V2"/>
      <c r="W2"/>
      <c r="X2"/>
    </row>
    <row r="3" spans="1:24" ht="16.5" thickTop="1" thickBot="1" x14ac:dyDescent="0.3">
      <c r="A3"/>
      <c r="B3" s="14"/>
      <c r="C3" s="15" t="s">
        <v>71</v>
      </c>
      <c r="D3" s="15"/>
      <c r="E3" s="16"/>
      <c r="F3"/>
      <c r="H3"/>
      <c r="I3" s="93" t="s">
        <v>9</v>
      </c>
      <c r="J3" s="25" t="str">
        <f>CONCATENATE(" ",VLOOKUP(I3,tblUnits[],2,FALSE))</f>
        <v xml:space="preserve"> kcal</v>
      </c>
      <c r="K3" s="9">
        <f t="shared" ref="K3:K35" si="0">GetNormed(formula,I3)</f>
        <v>0.67600000000000005</v>
      </c>
      <c r="L3" s="39">
        <f t="shared" ref="L3:L35" si="1">NutrByVol(GetNormed(formula,I3),desired_vol,desired_units)</f>
        <v>304.20000000000005</v>
      </c>
      <c r="M3" s="98">
        <f t="shared" ref="M3:M35" si="2">IFERROR(L3/wgt,"")</f>
        <v>101.40000000000002</v>
      </c>
      <c r="Q3"/>
      <c r="R3"/>
      <c r="S3"/>
      <c r="T3"/>
      <c r="U3"/>
      <c r="V3"/>
      <c r="W3"/>
      <c r="X3"/>
    </row>
    <row r="4" spans="1:24" ht="15.75" thickTop="1" x14ac:dyDescent="0.25">
      <c r="A4"/>
      <c r="B4" s="14"/>
      <c r="C4" s="17" t="s">
        <v>51</v>
      </c>
      <c r="D4" s="18" t="s">
        <v>219</v>
      </c>
      <c r="E4" s="16"/>
      <c r="F4"/>
      <c r="H4"/>
      <c r="I4" s="93" t="s">
        <v>8</v>
      </c>
      <c r="J4" s="25" t="str">
        <f>CONCATENATE(" ",VLOOKUP(I4,tblUnits[],2,FALSE))</f>
        <v xml:space="preserve"> g</v>
      </c>
      <c r="K4" s="9">
        <f t="shared" si="0"/>
        <v>1.4E-2</v>
      </c>
      <c r="L4" s="39">
        <f t="shared" si="1"/>
        <v>6.3</v>
      </c>
      <c r="M4" s="98">
        <f t="shared" si="2"/>
        <v>2.1</v>
      </c>
      <c r="Q4"/>
      <c r="R4"/>
      <c r="S4"/>
      <c r="T4"/>
      <c r="U4"/>
      <c r="V4"/>
      <c r="W4"/>
      <c r="X4"/>
    </row>
    <row r="5" spans="1:24" x14ac:dyDescent="0.25">
      <c r="A5"/>
      <c r="B5" s="14"/>
      <c r="C5" s="17" t="s">
        <v>50</v>
      </c>
      <c r="D5" s="18">
        <v>450</v>
      </c>
      <c r="E5" s="16"/>
      <c r="F5"/>
      <c r="H5"/>
      <c r="I5" s="93" t="s">
        <v>7</v>
      </c>
      <c r="J5" s="25" t="str">
        <f>CONCATENATE(" ",VLOOKUP(I5,tblUnits[],2,FALSE))</f>
        <v xml:space="preserve"> g</v>
      </c>
      <c r="K5" s="9">
        <f t="shared" si="0"/>
        <v>3.78E-2</v>
      </c>
      <c r="L5" s="39">
        <f t="shared" si="1"/>
        <v>17.010000000000002</v>
      </c>
      <c r="M5" s="98">
        <f t="shared" si="2"/>
        <v>5.6700000000000008</v>
      </c>
      <c r="Q5"/>
      <c r="R5"/>
      <c r="S5"/>
      <c r="T5"/>
      <c r="U5"/>
      <c r="V5"/>
      <c r="W5"/>
      <c r="X5"/>
    </row>
    <row r="6" spans="1:24" x14ac:dyDescent="0.25">
      <c r="A6"/>
      <c r="B6" s="14"/>
      <c r="C6" s="17" t="s">
        <v>52</v>
      </c>
      <c r="D6" s="18" t="s">
        <v>2</v>
      </c>
      <c r="E6" s="16"/>
      <c r="F6"/>
      <c r="H6"/>
      <c r="I6" s="93" t="s">
        <v>5</v>
      </c>
      <c r="J6" s="25" t="str">
        <f>CONCATENATE(" ",VLOOKUP(I6,tblUnits[],2,FALSE))</f>
        <v xml:space="preserve"> g</v>
      </c>
      <c r="K6" s="9">
        <f t="shared" si="0"/>
        <v>7.2400000000000006E-2</v>
      </c>
      <c r="L6" s="39">
        <f t="shared" si="1"/>
        <v>32.580000000000005</v>
      </c>
      <c r="M6" s="98">
        <f t="shared" si="2"/>
        <v>10.860000000000001</v>
      </c>
      <c r="Q6"/>
      <c r="R6"/>
      <c r="S6"/>
      <c r="T6"/>
      <c r="U6"/>
      <c r="V6"/>
      <c r="W6"/>
      <c r="X6"/>
    </row>
    <row r="7" spans="1:24" x14ac:dyDescent="0.25">
      <c r="A7"/>
      <c r="B7" s="14"/>
      <c r="C7" s="17"/>
      <c r="D7" s="19"/>
      <c r="E7" s="16"/>
      <c r="F7"/>
      <c r="H7"/>
      <c r="I7" s="93" t="s">
        <v>6</v>
      </c>
      <c r="J7" s="25" t="str">
        <f>CONCATENATE(" ",VLOOKUP(I7,tblUnits[],2,FALSE))</f>
        <v xml:space="preserve"> g</v>
      </c>
      <c r="K7" s="9">
        <f t="shared" si="0"/>
        <v>0.89900000000000002</v>
      </c>
      <c r="L7" s="39">
        <f t="shared" si="1"/>
        <v>404.55</v>
      </c>
      <c r="M7" s="98">
        <f t="shared" si="2"/>
        <v>134.85</v>
      </c>
      <c r="O7"/>
      <c r="P7"/>
      <c r="Q7"/>
      <c r="R7"/>
      <c r="S7"/>
      <c r="T7"/>
      <c r="U7"/>
      <c r="V7"/>
      <c r="W7"/>
      <c r="X7"/>
    </row>
    <row r="8" spans="1:24" x14ac:dyDescent="0.25">
      <c r="A8"/>
      <c r="B8" s="14"/>
      <c r="C8" s="17" t="s">
        <v>73</v>
      </c>
      <c r="D8" s="18">
        <v>3</v>
      </c>
      <c r="E8" s="16"/>
      <c r="F8"/>
      <c r="H8"/>
      <c r="I8" s="94" t="s">
        <v>10</v>
      </c>
      <c r="J8" s="26" t="str">
        <f>CONCATENATE(" ",VLOOKUP(I8,tblUnits[],2,FALSE))</f>
        <v xml:space="preserve"> mg</v>
      </c>
      <c r="K8" s="10">
        <f t="shared" si="0"/>
        <v>6.7569999999999997</v>
      </c>
      <c r="L8" s="40">
        <f t="shared" si="1"/>
        <v>3040.6499999999996</v>
      </c>
      <c r="M8" s="99">
        <f t="shared" si="2"/>
        <v>1013.5499999999998</v>
      </c>
      <c r="O8"/>
      <c r="P8"/>
      <c r="Q8"/>
      <c r="R8"/>
      <c r="S8"/>
      <c r="T8"/>
      <c r="U8"/>
      <c r="V8"/>
      <c r="W8"/>
      <c r="X8"/>
    </row>
    <row r="9" spans="1:24" x14ac:dyDescent="0.25">
      <c r="A9"/>
      <c r="B9" s="14"/>
      <c r="C9" s="17"/>
      <c r="D9" s="19"/>
      <c r="E9" s="16"/>
      <c r="F9"/>
      <c r="H9" s="177" t="s">
        <v>53</v>
      </c>
      <c r="I9" s="46" t="s">
        <v>12</v>
      </c>
      <c r="J9" s="24" t="str">
        <f>CONCATENATE(" ",VLOOKUP(I9,tblUnits[],2,FALSE))</f>
        <v xml:space="preserve"> IU</v>
      </c>
      <c r="K9" s="9">
        <f t="shared" si="0"/>
        <v>2.0289999999999999</v>
      </c>
      <c r="L9" s="39">
        <f t="shared" si="1"/>
        <v>913.05</v>
      </c>
      <c r="M9" s="98">
        <f t="shared" si="2"/>
        <v>304.34999999999997</v>
      </c>
      <c r="O9"/>
      <c r="P9"/>
      <c r="Q9"/>
      <c r="R9"/>
      <c r="S9"/>
      <c r="T9"/>
      <c r="U9"/>
      <c r="V9"/>
      <c r="W9"/>
      <c r="X9"/>
    </row>
    <row r="10" spans="1:24" x14ac:dyDescent="0.25">
      <c r="A10"/>
      <c r="B10" s="14"/>
      <c r="C10" s="17"/>
      <c r="D10" s="19"/>
      <c r="E10" s="16"/>
      <c r="F10"/>
      <c r="H10" s="177"/>
      <c r="I10" s="46" t="s">
        <v>14</v>
      </c>
      <c r="J10" s="24" t="str">
        <f>CONCATENATE(" ",VLOOKUP(I10,tblUnits[],2,FALSE))</f>
        <v xml:space="preserve"> IU</v>
      </c>
      <c r="K10" s="9">
        <f t="shared" si="0"/>
        <v>0.50700000000000001</v>
      </c>
      <c r="L10" s="39">
        <f t="shared" si="1"/>
        <v>228.15</v>
      </c>
      <c r="M10" s="98">
        <f t="shared" si="2"/>
        <v>76.05</v>
      </c>
      <c r="O10"/>
      <c r="P10"/>
      <c r="Q10"/>
      <c r="R10"/>
      <c r="S10"/>
      <c r="T10"/>
      <c r="U10"/>
      <c r="V10"/>
      <c r="W10"/>
      <c r="X10"/>
    </row>
    <row r="11" spans="1:24" x14ac:dyDescent="0.25">
      <c r="A11"/>
      <c r="B11" s="14"/>
      <c r="C11" s="17"/>
      <c r="D11" s="19"/>
      <c r="E11" s="16"/>
      <c r="F11"/>
      <c r="H11" s="177"/>
      <c r="I11" s="46" t="s">
        <v>15</v>
      </c>
      <c r="J11" s="24" t="str">
        <f>CONCATENATE(" ",VLOOKUP(I11,tblUnits[],2,FALSE))</f>
        <v xml:space="preserve"> IU</v>
      </c>
      <c r="K11" s="9">
        <f t="shared" si="0"/>
        <v>1.01E-2</v>
      </c>
      <c r="L11" s="39">
        <f t="shared" si="1"/>
        <v>4.5449999999999999</v>
      </c>
      <c r="M11" s="98">
        <f t="shared" si="2"/>
        <v>1.5149999999999999</v>
      </c>
      <c r="O11"/>
      <c r="P11"/>
      <c r="Q11"/>
      <c r="R11"/>
      <c r="S11"/>
      <c r="T11"/>
      <c r="U11"/>
      <c r="V11"/>
      <c r="W11"/>
      <c r="X11"/>
    </row>
    <row r="12" spans="1:24" ht="15.75" thickBot="1" x14ac:dyDescent="0.3">
      <c r="A12"/>
      <c r="B12" s="14"/>
      <c r="C12" s="38"/>
      <c r="D12" s="38"/>
      <c r="E12" s="16"/>
      <c r="F12"/>
      <c r="H12" s="177"/>
      <c r="I12" s="46" t="s">
        <v>16</v>
      </c>
      <c r="J12" s="24" t="str">
        <f>CONCATENATE(" ",VLOOKUP(I12,tblUnits[],2,FALSE))</f>
        <v xml:space="preserve"> mcg</v>
      </c>
      <c r="K12" s="9">
        <f t="shared" si="0"/>
        <v>5.3999999999999999E-2</v>
      </c>
      <c r="L12" s="39">
        <f t="shared" si="1"/>
        <v>24.3</v>
      </c>
      <c r="M12" s="98">
        <f t="shared" si="2"/>
        <v>8.1</v>
      </c>
      <c r="O12"/>
      <c r="P12"/>
      <c r="Q12"/>
      <c r="R12"/>
      <c r="S12"/>
      <c r="T12"/>
      <c r="U12"/>
      <c r="V12"/>
      <c r="W12"/>
      <c r="X12"/>
    </row>
    <row r="13" spans="1:24" ht="16.5" thickTop="1" thickBot="1" x14ac:dyDescent="0.3">
      <c r="A13"/>
      <c r="B13" s="14"/>
      <c r="C13" s="15" t="s">
        <v>72</v>
      </c>
      <c r="D13" s="15"/>
      <c r="E13" s="16"/>
      <c r="F13"/>
      <c r="H13" s="177"/>
      <c r="I13" s="46" t="s">
        <v>18</v>
      </c>
      <c r="J13" s="24" t="str">
        <f>CONCATENATE(" ",VLOOKUP(I13,tblUnits[],2,FALSE))</f>
        <v xml:space="preserve"> mcg</v>
      </c>
      <c r="K13" s="9">
        <f t="shared" si="0"/>
        <v>0.67600000000000005</v>
      </c>
      <c r="L13" s="39">
        <f t="shared" si="1"/>
        <v>304.20000000000005</v>
      </c>
      <c r="M13" s="98">
        <f t="shared" si="2"/>
        <v>101.40000000000002</v>
      </c>
      <c r="O13"/>
      <c r="P13"/>
      <c r="Q13"/>
      <c r="R13"/>
      <c r="S13"/>
      <c r="T13"/>
      <c r="U13"/>
      <c r="V13"/>
      <c r="W13"/>
      <c r="X13"/>
    </row>
    <row r="14" spans="1:24" ht="15.75" thickTop="1" x14ac:dyDescent="0.25">
      <c r="A14"/>
      <c r="B14" s="14"/>
      <c r="C14" s="37" t="s">
        <v>217</v>
      </c>
      <c r="D14" s="92" t="s">
        <v>227</v>
      </c>
      <c r="E14" s="16"/>
      <c r="F14"/>
      <c r="H14" s="177"/>
      <c r="I14" s="46" t="s">
        <v>19</v>
      </c>
      <c r="J14" s="24" t="str">
        <f>CONCATENATE(" ",VLOOKUP(I14,tblUnits[],2,FALSE))</f>
        <v xml:space="preserve"> mcg</v>
      </c>
      <c r="K14" s="9">
        <f t="shared" si="0"/>
        <v>1.014</v>
      </c>
      <c r="L14" s="39">
        <f t="shared" si="1"/>
        <v>456.3</v>
      </c>
      <c r="M14" s="98">
        <f t="shared" si="2"/>
        <v>152.1</v>
      </c>
      <c r="Q14"/>
      <c r="R14"/>
      <c r="S14"/>
      <c r="T14"/>
      <c r="U14"/>
      <c r="V14"/>
      <c r="W14"/>
      <c r="X14"/>
    </row>
    <row r="15" spans="1:24" x14ac:dyDescent="0.25">
      <c r="A15"/>
      <c r="B15" s="30"/>
      <c r="C15" s="37"/>
      <c r="D15" s="38"/>
      <c r="E15" s="16"/>
      <c r="F15"/>
      <c r="H15" s="177"/>
      <c r="I15" s="46" t="s">
        <v>20</v>
      </c>
      <c r="J15" s="24" t="str">
        <f>CONCATENATE(" ",VLOOKUP(I15,tblUnits[],2,FALSE))</f>
        <v xml:space="preserve"> mcg</v>
      </c>
      <c r="K15" s="9">
        <f t="shared" si="0"/>
        <v>0.40600000000000003</v>
      </c>
      <c r="L15" s="39">
        <f t="shared" si="1"/>
        <v>182.70000000000002</v>
      </c>
      <c r="M15" s="98">
        <f t="shared" si="2"/>
        <v>60.900000000000006</v>
      </c>
      <c r="Q15"/>
      <c r="R15"/>
      <c r="S15"/>
      <c r="T15"/>
      <c r="U15"/>
      <c r="V15"/>
      <c r="W15"/>
      <c r="X15"/>
    </row>
    <row r="16" spans="1:24" x14ac:dyDescent="0.25">
      <c r="A16"/>
      <c r="B16" s="30"/>
      <c r="C16" s="37"/>
      <c r="D16" s="38"/>
      <c r="E16" s="16"/>
      <c r="F16"/>
      <c r="H16" s="177"/>
      <c r="I16" s="46" t="s">
        <v>21</v>
      </c>
      <c r="J16" s="24" t="str">
        <f>CONCATENATE(" ",VLOOKUP(I16,tblUnits[],2,FALSE))</f>
        <v xml:space="preserve"> mcg</v>
      </c>
      <c r="K16" s="9">
        <f t="shared" si="0"/>
        <v>1.6899999999999999E-3</v>
      </c>
      <c r="L16" s="39">
        <f t="shared" si="1"/>
        <v>0.76049999999999995</v>
      </c>
      <c r="M16" s="98">
        <f t="shared" si="2"/>
        <v>0.2535</v>
      </c>
      <c r="Q16"/>
      <c r="R16"/>
      <c r="S16"/>
      <c r="T16"/>
      <c r="U16"/>
      <c r="V16"/>
      <c r="W16"/>
      <c r="X16"/>
    </row>
    <row r="17" spans="1:24" x14ac:dyDescent="0.25">
      <c r="A17"/>
      <c r="B17" s="30"/>
      <c r="C17" s="37"/>
      <c r="D17" s="38"/>
      <c r="E17" s="16"/>
      <c r="F17"/>
      <c r="H17" s="177"/>
      <c r="I17" s="46" t="s">
        <v>22</v>
      </c>
      <c r="J17" s="24" t="str">
        <f>CONCATENATE(" ",VLOOKUP(I17,tblUnits[],2,FALSE))</f>
        <v xml:space="preserve"> mcg</v>
      </c>
      <c r="K17" s="9">
        <f t="shared" si="0"/>
        <v>7.101</v>
      </c>
      <c r="L17" s="39">
        <f t="shared" si="1"/>
        <v>3195.45</v>
      </c>
      <c r="M17" s="98">
        <f t="shared" si="2"/>
        <v>1065.1499999999999</v>
      </c>
      <c r="Q17"/>
      <c r="R17"/>
      <c r="S17"/>
      <c r="T17"/>
      <c r="U17"/>
      <c r="V17"/>
      <c r="W17"/>
      <c r="X17"/>
    </row>
    <row r="18" spans="1:24" x14ac:dyDescent="0.25">
      <c r="A18"/>
      <c r="B18" s="30"/>
      <c r="C18" s="37"/>
      <c r="D18" s="38"/>
      <c r="E18" s="16"/>
      <c r="F18"/>
      <c r="H18" s="177"/>
      <c r="I18" s="46" t="s">
        <v>23</v>
      </c>
      <c r="J18" s="24" t="str">
        <f>CONCATENATE(" ",VLOOKUP(I18,tblUnits[],2,FALSE))</f>
        <v xml:space="preserve"> mcg</v>
      </c>
      <c r="K18" s="9">
        <f t="shared" si="0"/>
        <v>0.10100000000000001</v>
      </c>
      <c r="L18" s="39">
        <f t="shared" si="1"/>
        <v>45.45</v>
      </c>
      <c r="M18" s="98">
        <f t="shared" si="2"/>
        <v>15.15</v>
      </c>
      <c r="Q18"/>
      <c r="R18"/>
      <c r="S18"/>
      <c r="T18"/>
      <c r="U18"/>
      <c r="V18"/>
      <c r="W18"/>
      <c r="X18"/>
    </row>
    <row r="19" spans="1:24" x14ac:dyDescent="0.25">
      <c r="A19"/>
      <c r="B19" s="30"/>
      <c r="C19" s="17"/>
      <c r="D19" s="19"/>
      <c r="E19" s="16"/>
      <c r="F19"/>
      <c r="H19" s="177"/>
      <c r="I19" s="46" t="s">
        <v>24</v>
      </c>
      <c r="J19" s="24" t="str">
        <f>CONCATENATE(" ",VLOOKUP(I19,tblUnits[],2,FALSE))</f>
        <v xml:space="preserve"> mcg</v>
      </c>
      <c r="K19" s="9">
        <f t="shared" si="0"/>
        <v>3.0430000000000001</v>
      </c>
      <c r="L19" s="39">
        <f t="shared" si="1"/>
        <v>1369.3500000000001</v>
      </c>
      <c r="M19" s="98">
        <f t="shared" si="2"/>
        <v>456.45000000000005</v>
      </c>
      <c r="Q19"/>
      <c r="R19"/>
      <c r="S19"/>
      <c r="T19"/>
      <c r="U19"/>
      <c r="V19"/>
      <c r="W19"/>
      <c r="X19"/>
    </row>
    <row r="20" spans="1:24" x14ac:dyDescent="0.25">
      <c r="A20"/>
      <c r="B20" s="30"/>
      <c r="C20" s="17"/>
      <c r="D20" s="19"/>
      <c r="E20" s="16"/>
      <c r="F20"/>
      <c r="H20" s="177"/>
      <c r="I20" s="46" t="s">
        <v>25</v>
      </c>
      <c r="J20" s="24" t="str">
        <f>CONCATENATE(" ",VLOOKUP(I20,tblUnits[],2,FALSE))</f>
        <v xml:space="preserve"> mcg</v>
      </c>
      <c r="K20" s="9">
        <f t="shared" si="0"/>
        <v>2.98E-2</v>
      </c>
      <c r="L20" s="39">
        <f t="shared" si="1"/>
        <v>13.41</v>
      </c>
      <c r="M20" s="98">
        <f t="shared" si="2"/>
        <v>4.47</v>
      </c>
      <c r="Q20"/>
      <c r="R20"/>
      <c r="S20"/>
      <c r="T20"/>
      <c r="U20"/>
      <c r="V20"/>
      <c r="W20"/>
      <c r="X20"/>
    </row>
    <row r="21" spans="1:24" x14ac:dyDescent="0.25">
      <c r="A21"/>
      <c r="B21" s="30"/>
      <c r="C21" s="17"/>
      <c r="D21" s="19"/>
      <c r="E21" s="31"/>
      <c r="F21"/>
      <c r="H21" s="177"/>
      <c r="I21" s="46" t="s">
        <v>26</v>
      </c>
      <c r="J21" s="24" t="str">
        <f>CONCATENATE(" ",VLOOKUP(I21,tblUnits[],2,FALSE))</f>
        <v xml:space="preserve"> mg</v>
      </c>
      <c r="K21" s="9">
        <f t="shared" si="0"/>
        <v>6.0999999999999999E-2</v>
      </c>
      <c r="L21" s="39">
        <f t="shared" si="1"/>
        <v>27.45</v>
      </c>
      <c r="M21" s="98">
        <f t="shared" si="2"/>
        <v>9.15</v>
      </c>
      <c r="Q21"/>
      <c r="R21"/>
      <c r="S21"/>
      <c r="T21"/>
      <c r="U21"/>
      <c r="V21"/>
      <c r="W21"/>
      <c r="X21"/>
    </row>
    <row r="22" spans="1:24" x14ac:dyDescent="0.25">
      <c r="A22"/>
      <c r="B22" s="30"/>
      <c r="C22" s="17"/>
      <c r="D22" s="19"/>
      <c r="E22" s="31"/>
      <c r="F22"/>
      <c r="H22" s="177"/>
      <c r="I22" s="46" t="s">
        <v>27</v>
      </c>
      <c r="J22" s="24" t="str">
        <f>CONCATENATE(" ",VLOOKUP(I22,tblUnits[],2,FALSE))</f>
        <v xml:space="preserve"> mg</v>
      </c>
      <c r="K22" s="9">
        <f t="shared" si="0"/>
        <v>0.108</v>
      </c>
      <c r="L22" s="39">
        <f t="shared" si="1"/>
        <v>48.6</v>
      </c>
      <c r="M22" s="98">
        <f t="shared" si="2"/>
        <v>16.2</v>
      </c>
      <c r="O22" s="84" t="s">
        <v>232</v>
      </c>
      <c r="P22" s="85"/>
      <c r="Q22"/>
      <c r="R22"/>
      <c r="S22"/>
      <c r="T22"/>
      <c r="U22"/>
      <c r="V22"/>
      <c r="W22"/>
      <c r="X22"/>
    </row>
    <row r="23" spans="1:24" ht="15.75" thickBot="1" x14ac:dyDescent="0.3">
      <c r="A23"/>
      <c r="B23" s="30"/>
      <c r="C23" s="17"/>
      <c r="D23" s="19"/>
      <c r="E23" s="31"/>
      <c r="F23"/>
      <c r="H23" s="177"/>
      <c r="I23" s="48" t="s">
        <v>28</v>
      </c>
      <c r="J23" s="27" t="str">
        <f>CONCATENATE(" ",VLOOKUP(I23,tblUnits[],2,FALSE))</f>
        <v xml:space="preserve"> mg</v>
      </c>
      <c r="K23" s="10">
        <f t="shared" si="0"/>
        <v>3.1800000000000002E-2</v>
      </c>
      <c r="L23" s="40">
        <f t="shared" si="1"/>
        <v>14.31</v>
      </c>
      <c r="M23" s="99">
        <f t="shared" si="2"/>
        <v>4.7700000000000005</v>
      </c>
      <c r="O23" s="83" t="s">
        <v>119</v>
      </c>
      <c r="P23" s="83" t="s">
        <v>120</v>
      </c>
      <c r="Q23"/>
      <c r="R23"/>
      <c r="S23"/>
      <c r="T23"/>
      <c r="U23"/>
      <c r="V23"/>
      <c r="W23"/>
      <c r="X23"/>
    </row>
    <row r="24" spans="1:24" ht="16.5" thickTop="1" thickBot="1" x14ac:dyDescent="0.3">
      <c r="A24"/>
      <c r="B24" s="30"/>
      <c r="C24" s="15" t="s">
        <v>75</v>
      </c>
      <c r="D24" s="15"/>
      <c r="E24" s="31"/>
      <c r="F24"/>
      <c r="H24" s="178" t="s">
        <v>54</v>
      </c>
      <c r="I24" s="46" t="s">
        <v>29</v>
      </c>
      <c r="J24" s="24" t="str">
        <f>CONCATENATE(" ",VLOOKUP(I24,tblUnits[],2,FALSE))</f>
        <v xml:space="preserve"> mg</v>
      </c>
      <c r="K24" s="9">
        <f t="shared" si="0"/>
        <v>0.52800000000000002</v>
      </c>
      <c r="L24" s="39">
        <f t="shared" si="1"/>
        <v>237.60000000000002</v>
      </c>
      <c r="M24" s="98">
        <f t="shared" si="2"/>
        <v>79.2</v>
      </c>
      <c r="O24" s="1">
        <f>IFERROR((K24*VLOOKUP(I24,tblChemistry[],4,FALSE))/VLOOKUP(I24,tblChemistry[],3,FALSE),"")</f>
        <v>2.64E-2</v>
      </c>
      <c r="P24" s="1">
        <f t="shared" ref="P24:P35" si="3">IFERROR(O24*intake,"")</f>
        <v>3.96</v>
      </c>
      <c r="Q24"/>
      <c r="R24"/>
      <c r="S24"/>
      <c r="T24"/>
      <c r="U24"/>
      <c r="V24"/>
      <c r="W24"/>
      <c r="X24"/>
    </row>
    <row r="25" spans="1:24" ht="15.75" thickTop="1" x14ac:dyDescent="0.25">
      <c r="A25"/>
      <c r="B25" s="14"/>
      <c r="C25" s="17" t="s">
        <v>118</v>
      </c>
      <c r="D25" s="4">
        <f>IF(desired_units="mL",(desired_vol/wgt),(CONVERT(desired_vol,desired_units,"ml")/wgt))</f>
        <v>150</v>
      </c>
      <c r="E25" s="31"/>
      <c r="F25"/>
      <c r="H25" s="178"/>
      <c r="I25" s="46" t="s">
        <v>30</v>
      </c>
      <c r="J25" s="24" t="str">
        <f>CONCATENATE(" ",VLOOKUP(I25,tblUnits[],2,FALSE))</f>
        <v xml:space="preserve"> mg</v>
      </c>
      <c r="K25" s="9">
        <f t="shared" si="0"/>
        <v>0.28399999999999997</v>
      </c>
      <c r="L25" s="39">
        <f t="shared" si="1"/>
        <v>127.79999999999998</v>
      </c>
      <c r="M25" s="98">
        <f t="shared" si="2"/>
        <v>42.599999999999994</v>
      </c>
      <c r="O25" s="1">
        <f>IFERROR((K25*VLOOKUP(I25,tblChemistry[],4,FALSE))/VLOOKUP(I25,tblChemistry[],3,FALSE),"")</f>
        <v>1.8322580645161287E-2</v>
      </c>
      <c r="P25" s="1">
        <f t="shared" si="3"/>
        <v>2.7483870967741932</v>
      </c>
      <c r="Q25"/>
      <c r="R25"/>
      <c r="S25"/>
      <c r="T25"/>
      <c r="U25"/>
      <c r="V25"/>
      <c r="W25"/>
      <c r="X25"/>
    </row>
    <row r="26" spans="1:24" x14ac:dyDescent="0.25">
      <c r="A26"/>
      <c r="B26" s="14"/>
      <c r="C26" s="17" t="s">
        <v>218</v>
      </c>
      <c r="D26" s="4">
        <f>ROUND((K3*29.57352956),1)</f>
        <v>20</v>
      </c>
      <c r="E26" s="31"/>
      <c r="F26"/>
      <c r="H26" s="178"/>
      <c r="I26" s="46" t="s">
        <v>31</v>
      </c>
      <c r="J26" s="24" t="str">
        <f>CONCATENATE(" ",VLOOKUP(I26,tblUnits[],2,FALSE))</f>
        <v xml:space="preserve"> mg</v>
      </c>
      <c r="K26" s="9">
        <f t="shared" si="0"/>
        <v>4.1000000000000002E-2</v>
      </c>
      <c r="L26" s="39">
        <f t="shared" si="1"/>
        <v>18.45</v>
      </c>
      <c r="M26" s="98">
        <f t="shared" si="2"/>
        <v>6.1499999999999995</v>
      </c>
      <c r="O26" s="1">
        <f>IFERROR((K26*VLOOKUP(I26,tblChemistry[],4,FALSE))/VLOOKUP(I26,tblChemistry[],3,FALSE),"")</f>
        <v>3.374485596707819E-3</v>
      </c>
      <c r="P26" s="1">
        <f t="shared" si="3"/>
        <v>0.50617283950617287</v>
      </c>
      <c r="Q26"/>
      <c r="R26"/>
      <c r="S26"/>
      <c r="T26"/>
      <c r="U26"/>
      <c r="V26"/>
      <c r="W26"/>
      <c r="X26"/>
    </row>
    <row r="27" spans="1:24" x14ac:dyDescent="0.25">
      <c r="A27"/>
      <c r="B27" s="14"/>
      <c r="C27" s="17" t="s">
        <v>220</v>
      </c>
      <c r="D27" s="4">
        <f>ROUND(L24/L25,2)</f>
        <v>1.86</v>
      </c>
      <c r="E27" s="31"/>
      <c r="F27"/>
      <c r="H27" s="178"/>
      <c r="I27" s="46" t="s">
        <v>32</v>
      </c>
      <c r="J27" s="24" t="str">
        <f>CONCATENATE(" ",VLOOKUP(I27,tblUnits[],2,FALSE))</f>
        <v xml:space="preserve"> mg</v>
      </c>
      <c r="K27" s="9">
        <f t="shared" si="0"/>
        <v>1.2E-2</v>
      </c>
      <c r="L27" s="39">
        <f t="shared" si="1"/>
        <v>5.4</v>
      </c>
      <c r="M27" s="98">
        <f t="shared" si="2"/>
        <v>1.8</v>
      </c>
      <c r="O27" s="1" t="str">
        <f>IFERROR((K27*VLOOKUP(I27,tblChemistry[],4,FALSE))/VLOOKUP(I27,tblChemistry[],3,FALSE),"")</f>
        <v/>
      </c>
      <c r="P27" s="1" t="str">
        <f t="shared" si="3"/>
        <v/>
      </c>
      <c r="Q27"/>
      <c r="R27"/>
      <c r="S27"/>
      <c r="T27"/>
      <c r="U27"/>
      <c r="V27"/>
      <c r="W27"/>
      <c r="X27"/>
    </row>
    <row r="28" spans="1:24" x14ac:dyDescent="0.25">
      <c r="A28"/>
      <c r="B28" s="30"/>
      <c r="C28" s="29"/>
      <c r="D28" s="19"/>
      <c r="E28" s="31"/>
      <c r="F28"/>
      <c r="H28" s="178"/>
      <c r="I28" s="46" t="s">
        <v>33</v>
      </c>
      <c r="J28" s="24" t="str">
        <f>CONCATENATE(" ",VLOOKUP(I28,tblUnits[],2,FALSE))</f>
        <v xml:space="preserve"> mg</v>
      </c>
      <c r="K28" s="9">
        <f t="shared" si="0"/>
        <v>5.0699999999999999E-3</v>
      </c>
      <c r="L28" s="39">
        <f t="shared" si="1"/>
        <v>2.2814999999999999</v>
      </c>
      <c r="M28" s="98">
        <f t="shared" si="2"/>
        <v>0.76049999999999995</v>
      </c>
      <c r="O28" s="1">
        <f>IFERROR((K28*VLOOKUP(I28,tblChemistry[],4,FALSE))/VLOOKUP(I28,tblChemistry[],3,FALSE),"")</f>
        <v>1.5504587155963301E-4</v>
      </c>
      <c r="P28" s="1">
        <f t="shared" si="3"/>
        <v>2.3256880733944951E-2</v>
      </c>
      <c r="Q28"/>
      <c r="R28"/>
      <c r="S28"/>
      <c r="T28"/>
      <c r="U28"/>
      <c r="V28"/>
      <c r="W28"/>
      <c r="X28"/>
    </row>
    <row r="29" spans="1:24" x14ac:dyDescent="0.25">
      <c r="A29"/>
      <c r="B29" s="30"/>
      <c r="C29" s="29"/>
      <c r="D29" s="19"/>
      <c r="E29" s="31"/>
      <c r="F29"/>
      <c r="H29" s="178"/>
      <c r="I29" s="46" t="s">
        <v>34</v>
      </c>
      <c r="J29" s="24" t="str">
        <f>CONCATENATE(" ",VLOOKUP(I29,tblUnits[],2,FALSE))</f>
        <v xml:space="preserve"> mcg</v>
      </c>
      <c r="K29" s="9">
        <f t="shared" si="0"/>
        <v>3.4000000000000002E-2</v>
      </c>
      <c r="L29" s="39">
        <f t="shared" si="1"/>
        <v>15.3</v>
      </c>
      <c r="M29" s="98">
        <f t="shared" si="2"/>
        <v>5.1000000000000005</v>
      </c>
      <c r="O29" s="1" t="str">
        <f>IFERROR((K29*VLOOKUP(I29,tblChemistry[],4,FALSE))/VLOOKUP(I29,tblChemistry[],3,FALSE),"")</f>
        <v/>
      </c>
      <c r="P29" s="1" t="str">
        <f t="shared" si="3"/>
        <v/>
      </c>
      <c r="Q29"/>
      <c r="R29"/>
      <c r="S29"/>
      <c r="T29"/>
      <c r="U29"/>
      <c r="V29"/>
      <c r="W29"/>
      <c r="X29"/>
    </row>
    <row r="30" spans="1:24" x14ac:dyDescent="0.25">
      <c r="A30"/>
      <c r="B30" s="30"/>
      <c r="C30" s="29"/>
      <c r="D30" s="19"/>
      <c r="E30" s="31"/>
      <c r="F30"/>
      <c r="G30"/>
      <c r="H30" s="178"/>
      <c r="I30" s="46" t="s">
        <v>35</v>
      </c>
      <c r="J30" s="24" t="str">
        <f>CONCATENATE(" ",VLOOKUP(I30,tblUnits[],2,FALSE))</f>
        <v xml:space="preserve"> mcg</v>
      </c>
      <c r="K30" s="9">
        <f t="shared" si="0"/>
        <v>0.60899999999999999</v>
      </c>
      <c r="L30" s="39">
        <f t="shared" si="1"/>
        <v>274.05</v>
      </c>
      <c r="M30" s="98">
        <f t="shared" si="2"/>
        <v>91.350000000000009</v>
      </c>
      <c r="O30" s="1" t="str">
        <f>IFERROR((K30*VLOOKUP(I30,tblChemistry[],4,FALSE))/VLOOKUP(I30,tblChemistry[],3,FALSE),"")</f>
        <v/>
      </c>
      <c r="P30" s="1" t="str">
        <f t="shared" si="3"/>
        <v/>
      </c>
      <c r="Q30"/>
      <c r="R30"/>
      <c r="S30"/>
      <c r="T30"/>
      <c r="U30"/>
      <c r="V30"/>
      <c r="W30"/>
      <c r="X30"/>
    </row>
    <row r="31" spans="1:24" x14ac:dyDescent="0.25">
      <c r="A31"/>
      <c r="B31" s="14"/>
      <c r="C31" s="19"/>
      <c r="D31" s="19"/>
      <c r="E31" s="16"/>
      <c r="H31" s="178"/>
      <c r="I31" s="46" t="s">
        <v>36</v>
      </c>
      <c r="J31" s="24" t="str">
        <f>CONCATENATE(" ",VLOOKUP(I31,tblUnits[],2,FALSE))</f>
        <v xml:space="preserve"> mcg</v>
      </c>
      <c r="K31" s="9">
        <f t="shared" si="0"/>
        <v>4.1000000000000002E-2</v>
      </c>
      <c r="L31" s="39">
        <f t="shared" si="1"/>
        <v>18.45</v>
      </c>
      <c r="M31" s="98">
        <f t="shared" si="2"/>
        <v>6.1499999999999995</v>
      </c>
      <c r="O31" s="1" t="str">
        <f>IFERROR((K31*VLOOKUP(I31,tblChemistry[],4,FALSE))/VLOOKUP(I31,tblChemistry[],3,FALSE),"")</f>
        <v/>
      </c>
      <c r="P31" s="1" t="str">
        <f t="shared" si="3"/>
        <v/>
      </c>
      <c r="Q31"/>
      <c r="R31"/>
      <c r="S31"/>
      <c r="T31"/>
      <c r="U31"/>
      <c r="V31"/>
      <c r="W31"/>
      <c r="X31"/>
    </row>
    <row r="32" spans="1:24" x14ac:dyDescent="0.25">
      <c r="A32"/>
      <c r="B32" s="30"/>
      <c r="C32" s="29"/>
      <c r="D32" s="19"/>
      <c r="E32" s="16"/>
      <c r="H32" s="178"/>
      <c r="I32" s="46" t="s">
        <v>37</v>
      </c>
      <c r="J32" s="24" t="str">
        <f>CONCATENATE(" ",VLOOKUP(I32,tblUnits[],2,FALSE))</f>
        <v xml:space="preserve"> mcg</v>
      </c>
      <c r="K32" s="9">
        <f t="shared" si="0"/>
        <v>1.4E-2</v>
      </c>
      <c r="L32" s="39">
        <f t="shared" si="1"/>
        <v>6.3</v>
      </c>
      <c r="M32" s="98">
        <f t="shared" si="2"/>
        <v>2.1</v>
      </c>
      <c r="O32" s="1" t="str">
        <f>IFERROR((K32*VLOOKUP(I32,tblChemistry[],4,FALSE))/VLOOKUP(I32,tblChemistry[],3,FALSE),"")</f>
        <v/>
      </c>
      <c r="P32" s="1" t="str">
        <f t="shared" si="3"/>
        <v/>
      </c>
      <c r="Q32"/>
      <c r="R32"/>
      <c r="S32"/>
      <c r="T32"/>
      <c r="U32"/>
      <c r="V32"/>
      <c r="W32"/>
      <c r="X32"/>
    </row>
    <row r="33" spans="1:24" x14ac:dyDescent="0.25">
      <c r="A33"/>
      <c r="B33" s="14"/>
      <c r="C33" s="19"/>
      <c r="D33" s="19"/>
      <c r="E33" s="16"/>
      <c r="H33" s="178"/>
      <c r="I33" s="46" t="s">
        <v>38</v>
      </c>
      <c r="J33" s="24" t="str">
        <f>CONCATENATE(" ",VLOOKUP(I33,tblUnits[],2,FALSE))</f>
        <v xml:space="preserve"> mg</v>
      </c>
      <c r="K33" s="9">
        <f t="shared" si="0"/>
        <v>0.16200000000000001</v>
      </c>
      <c r="L33" s="39">
        <f t="shared" si="1"/>
        <v>72.900000000000006</v>
      </c>
      <c r="M33" s="98">
        <f t="shared" si="2"/>
        <v>24.3</v>
      </c>
      <c r="O33" s="1">
        <f>IFERROR((K33*VLOOKUP(I33,tblChemistry[],4,FALSE))/VLOOKUP(I33,tblChemistry[],3,FALSE),"")</f>
        <v>7.0434782608695653E-3</v>
      </c>
      <c r="P33" s="1">
        <f t="shared" si="3"/>
        <v>1.0565217391304347</v>
      </c>
      <c r="Q33"/>
      <c r="R33"/>
      <c r="S33"/>
      <c r="T33"/>
      <c r="U33"/>
      <c r="V33"/>
      <c r="W33"/>
      <c r="X33"/>
    </row>
    <row r="34" spans="1:24" x14ac:dyDescent="0.25">
      <c r="A34"/>
      <c r="B34" s="14"/>
      <c r="C34" s="19"/>
      <c r="D34" s="19"/>
      <c r="E34" s="16"/>
      <c r="H34" s="178"/>
      <c r="I34" s="46" t="s">
        <v>39</v>
      </c>
      <c r="J34" s="24" t="str">
        <f>CONCATENATE(" ",VLOOKUP(I34,tblUnits[],2,FALSE))</f>
        <v xml:space="preserve"> mg</v>
      </c>
      <c r="K34" s="9">
        <f t="shared" si="0"/>
        <v>0.71</v>
      </c>
      <c r="L34" s="39">
        <f t="shared" si="1"/>
        <v>319.5</v>
      </c>
      <c r="M34" s="98">
        <f t="shared" si="2"/>
        <v>106.5</v>
      </c>
      <c r="O34" s="1">
        <f>IFERROR((K34*VLOOKUP(I34,tblChemistry[],4,FALSE))/VLOOKUP(I34,tblChemistry[],3,FALSE),"")</f>
        <v>1.8205128205128204E-2</v>
      </c>
      <c r="P34" s="1">
        <f t="shared" si="3"/>
        <v>2.7307692307692304</v>
      </c>
      <c r="Q34"/>
      <c r="R34"/>
      <c r="S34"/>
      <c r="T34"/>
      <c r="U34"/>
      <c r="V34"/>
      <c r="W34"/>
      <c r="X34"/>
    </row>
    <row r="35" spans="1:24" x14ac:dyDescent="0.25">
      <c r="A35"/>
      <c r="B35" s="20"/>
      <c r="C35" s="21"/>
      <c r="D35" s="21"/>
      <c r="E35" s="22"/>
      <c r="H35" s="179"/>
      <c r="I35" s="48" t="s">
        <v>40</v>
      </c>
      <c r="J35" s="27" t="str">
        <f>CONCATENATE(" ",VLOOKUP(I35,tblUnits[],2,FALSE))</f>
        <v xml:space="preserve"> mg</v>
      </c>
      <c r="K35" s="10">
        <f t="shared" si="0"/>
        <v>0.44</v>
      </c>
      <c r="L35" s="40">
        <f t="shared" si="1"/>
        <v>198</v>
      </c>
      <c r="M35" s="99">
        <f t="shared" si="2"/>
        <v>66</v>
      </c>
      <c r="O35" s="1">
        <f>IFERROR((K35*VLOOKUP(I35,tblChemistry[],4,FALSE))/VLOOKUP(I35,tblChemistry[],3,FALSE),"")</f>
        <v>1.2394366197183098E-2</v>
      </c>
      <c r="P35" s="1">
        <f t="shared" si="3"/>
        <v>1.8591549295774648</v>
      </c>
      <c r="Q35"/>
      <c r="R35"/>
      <c r="S35"/>
      <c r="T35"/>
      <c r="U35"/>
      <c r="V35"/>
      <c r="W35"/>
      <c r="X35"/>
    </row>
    <row r="36" spans="1:24" x14ac:dyDescent="0.25">
      <c r="A36"/>
      <c r="B36"/>
      <c r="C36"/>
      <c r="D36"/>
      <c r="E36"/>
      <c r="Q36"/>
      <c r="R36"/>
      <c r="S36"/>
      <c r="T36"/>
      <c r="U36"/>
      <c r="V36"/>
      <c r="W36"/>
      <c r="X36"/>
    </row>
    <row r="37" spans="1:24" x14ac:dyDescent="0.25">
      <c r="A37"/>
      <c r="B37"/>
      <c r="C37"/>
      <c r="D37"/>
      <c r="E37"/>
      <c r="Q37"/>
      <c r="R37"/>
      <c r="S37"/>
      <c r="T37"/>
      <c r="U37"/>
      <c r="V37"/>
      <c r="W37"/>
      <c r="X37"/>
    </row>
    <row r="38" spans="1:24" x14ac:dyDescent="0.25">
      <c r="A38"/>
      <c r="B38"/>
      <c r="C38"/>
      <c r="D38"/>
      <c r="E38"/>
      <c r="Q38"/>
      <c r="R38"/>
      <c r="S38"/>
      <c r="T38"/>
      <c r="U38"/>
      <c r="V38"/>
      <c r="W38"/>
      <c r="X38"/>
    </row>
    <row r="39" spans="1:24" x14ac:dyDescent="0.25">
      <c r="A39"/>
      <c r="B39"/>
      <c r="C39"/>
      <c r="D39"/>
      <c r="E39"/>
      <c r="Q39"/>
      <c r="R39"/>
      <c r="S39"/>
      <c r="T39"/>
      <c r="U39"/>
      <c r="V39"/>
      <c r="W39"/>
      <c r="X39"/>
    </row>
  </sheetData>
  <mergeCells count="2">
    <mergeCell ref="H9:H23"/>
    <mergeCell ref="H24:H35"/>
  </mergeCells>
  <dataValidations count="2">
    <dataValidation type="list" allowBlank="1" showInputMessage="1" showErrorMessage="1" sqref="D4">
      <formula1>INDIRECT("tblFormula[Formula]")</formula1>
    </dataValidation>
    <dataValidation type="list" allowBlank="1" showInputMessage="1" showErrorMessage="1" sqref="D6">
      <formula1>"mL,dL,L,oz"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46"/>
  <sheetViews>
    <sheetView workbookViewId="0">
      <selection activeCell="N4" sqref="N4"/>
    </sheetView>
  </sheetViews>
  <sheetFormatPr defaultRowHeight="15" x14ac:dyDescent="0.25"/>
  <cols>
    <col min="1" max="2" width="4.140625" customWidth="1"/>
    <col min="3" max="3" width="15.5703125" customWidth="1"/>
    <col min="4" max="4" width="20.5703125" customWidth="1"/>
    <col min="5" max="5" width="3" customWidth="1"/>
    <col min="6" max="6" width="3.140625" customWidth="1"/>
    <col min="7" max="7" width="3.28515625" customWidth="1"/>
    <col min="8" max="8" width="3.42578125" customWidth="1"/>
    <col min="9" max="9" width="15.85546875" customWidth="1"/>
    <col min="10" max="10" width="12.28515625" customWidth="1"/>
    <col min="11" max="12" width="13" customWidth="1"/>
    <col min="13" max="13" width="8.140625" style="112" customWidth="1"/>
    <col min="14" max="14" width="13" customWidth="1"/>
    <col min="15" max="15" width="8.140625" style="112" customWidth="1"/>
    <col min="16" max="16" width="13" customWidth="1"/>
    <col min="17" max="17" width="8.140625" style="112" customWidth="1"/>
    <col min="18" max="18" width="13" customWidth="1"/>
    <col min="19" max="19" width="8.140625" style="112" customWidth="1"/>
    <col min="20" max="20" width="13" customWidth="1"/>
    <col min="21" max="21" width="8.140625" style="112" customWidth="1"/>
  </cols>
  <sheetData>
    <row r="1" spans="1:32" ht="15" customHeight="1" x14ac:dyDescent="0.25">
      <c r="A1" s="1"/>
      <c r="B1" s="1"/>
      <c r="C1" s="1"/>
      <c r="D1" s="1"/>
      <c r="E1" s="1"/>
      <c r="G1" s="1"/>
      <c r="H1" s="1"/>
      <c r="I1" s="1"/>
      <c r="J1" s="1"/>
      <c r="K1" s="1"/>
      <c r="L1" s="1"/>
      <c r="N1" s="1"/>
    </row>
    <row r="2" spans="1:32" ht="33" customHeight="1" thickBot="1" x14ac:dyDescent="0.3">
      <c r="B2" s="11"/>
      <c r="C2" s="12"/>
      <c r="D2" s="12"/>
      <c r="E2" s="13"/>
      <c r="G2" s="1"/>
      <c r="H2" s="1"/>
      <c r="I2" s="117" t="s">
        <v>55</v>
      </c>
      <c r="J2" s="96" t="s">
        <v>49</v>
      </c>
      <c r="K2" s="148" t="str">
        <f>comp_base</f>
        <v>NeoSure</v>
      </c>
      <c r="L2" s="138" t="str">
        <f>comp1</f>
        <v>Similac Advance 20</v>
      </c>
      <c r="M2" s="139" t="s">
        <v>266</v>
      </c>
      <c r="N2" s="140" t="str">
        <f>comp2</f>
        <v>Nutramigen (Liquids)</v>
      </c>
      <c r="O2" s="141" t="s">
        <v>266</v>
      </c>
      <c r="P2" s="142" t="str">
        <f>comp3</f>
        <v>Enfamil Gentlease</v>
      </c>
      <c r="Q2" s="143" t="s">
        <v>266</v>
      </c>
      <c r="R2" s="144" t="str">
        <f>comp4</f>
        <v>Elecare</v>
      </c>
      <c r="S2" s="145" t="s">
        <v>266</v>
      </c>
      <c r="T2" s="146" t="str">
        <f>comp5</f>
        <v>NeoSure</v>
      </c>
      <c r="U2" s="147" t="s">
        <v>266</v>
      </c>
      <c r="AE2" s="96" t="e">
        <f>formula2</f>
        <v>#NAME?</v>
      </c>
      <c r="AF2" s="8" t="s">
        <v>224</v>
      </c>
    </row>
    <row r="3" spans="1:32" ht="15" customHeight="1" thickTop="1" thickBot="1" x14ac:dyDescent="0.3">
      <c r="B3" s="14"/>
      <c r="C3" s="15" t="s">
        <v>71</v>
      </c>
      <c r="D3" s="15"/>
      <c r="E3" s="16"/>
      <c r="G3" s="1"/>
      <c r="I3" s="119" t="s">
        <v>9</v>
      </c>
      <c r="J3" s="118"/>
      <c r="K3" s="161" t="str">
        <f>ROUND(GetNormed(comp_base,"calories")*CONVERT(1,"oz","ml"),1)&amp;" kcal/oz"</f>
        <v>22 kcal/oz</v>
      </c>
      <c r="L3" s="190" t="str">
        <f>ROUND(GetNormed(comp1,"calories")*CONVERT(1,"oz","ml"),1)&amp;" kcal/oz"</f>
        <v>20 kcal/oz</v>
      </c>
      <c r="M3" s="191"/>
      <c r="N3" s="192" t="str">
        <f>ROUND(GetNormed(comp2,"calories")*CONVERT(1,"oz","ml"),1)&amp;" kcal/oz"</f>
        <v>20 kcal/oz</v>
      </c>
      <c r="O3" s="193"/>
      <c r="P3" s="194" t="str">
        <f>ROUND(GetNormed(comp3,"calories")*CONVERT(1,"oz","ml"),1)&amp;" kcal/oz"</f>
        <v>20 kcal/oz</v>
      </c>
      <c r="Q3" s="195"/>
      <c r="R3" s="180" t="str">
        <f>ROUND(GetNormed(comp4,"calories")*CONVERT(1,"oz","ml"),1)&amp;" kcal/oz"</f>
        <v>20 kcal/oz</v>
      </c>
      <c r="S3" s="181"/>
      <c r="T3" s="182" t="str">
        <f>ROUND(GetNormed(comp5,"calories")*CONVERT(1,"oz","ml"),1)&amp;" kcal/oz"</f>
        <v>22 kcal/oz</v>
      </c>
      <c r="U3" s="183"/>
    </row>
    <row r="4" spans="1:32" ht="15" customHeight="1" thickTop="1" x14ac:dyDescent="0.25">
      <c r="B4" s="14"/>
      <c r="C4" s="17" t="s">
        <v>258</v>
      </c>
      <c r="D4" s="116" t="s">
        <v>1</v>
      </c>
      <c r="E4" s="16"/>
      <c r="G4" s="1"/>
      <c r="I4" s="93" t="s">
        <v>9</v>
      </c>
      <c r="J4" s="118" t="str">
        <f>IF(comp_type="formulas only",VLOOKUP(I4,tblUnits[],2,FALSE)&amp;"/ml",IF(comp_type="per amount",VLOOKUP(I4,tblUnits[],2,FALSE)&amp;"/"&amp;comp_vol&amp;" "&amp;comp_units,VLOOKUP(I4,tblUnits[],2,FALSE)&amp;"/kg"))</f>
        <v>kcal/kg</v>
      </c>
      <c r="K4" s="150">
        <f t="shared" ref="K4:K40" si="0">IF(comp_type="formulas only",GetNormed(comp_base,I4),IF(comp_type="per amount",GetNormed(comp_base,I4)*CONVERT(comp_vol,comp_units,"ml"),GetNormed(comp_base,I4)*comp_intake))</f>
        <v>119.03999999999999</v>
      </c>
      <c r="L4" s="124">
        <f t="shared" ref="L4:L40" si="1">IF(comp_type="formulas only",GetNormed(comp1,I4),IF(comp_type="per amount",GetNormed(comp1,I4)*CONVERT(comp_vol,comp_units,"ml"),GetNormed(comp1,I4)*comp_intake))</f>
        <v>108.16000000000001</v>
      </c>
      <c r="M4" s="162">
        <f t="shared" ref="M4:M46" si="2">IFERROR((L4-K4)/K4,"")</f>
        <v>-9.1397849462365441E-2</v>
      </c>
      <c r="N4" s="127">
        <f t="shared" ref="N4:N40" si="3">IF(comp_type="formulas only",GetNormed(comp2,I4),IF(comp_type="per amount",GetNormed(comp2,I4)*CONVERT(comp_vol,comp_units,"ml"),GetNormed(comp2,I4)*comp_intake))</f>
        <v>108.20487264589759</v>
      </c>
      <c r="O4" s="165">
        <f t="shared" ref="O4:O46" si="4">IFERROR((N4-K4)/K4,"")</f>
        <v>-9.1020895111747296E-2</v>
      </c>
      <c r="P4" s="130">
        <f t="shared" ref="P4:P40" si="5">IF(comp_type="formulas only",GetNormed(comp3,I4),IF(comp_type="per amount",GetNormed(comp3,I4)*CONVERT(comp_vol,comp_units,"ml"),GetNormed(comp3,I4)*comp_intake))</f>
        <v>108.20487264589759</v>
      </c>
      <c r="Q4" s="168">
        <f t="shared" ref="Q4:Q46" si="6">IFERROR((P4-K4)/K4,"")</f>
        <v>-9.1020895111747296E-2</v>
      </c>
      <c r="R4" s="133">
        <f t="shared" ref="R4:R40" si="7">IF(comp_type="formulas only",GetNormed(comp4,I4),IF(comp_type="per amount",GetNormed(comp4,I4)*CONVERT(comp_vol,comp_units,"ml"),GetNormed(comp4,I4)*comp_intake))</f>
        <v>108.20487264589759</v>
      </c>
      <c r="S4" s="171">
        <f t="shared" ref="S4:S46" si="8">IFERROR((R4-K4)/K4,"")</f>
        <v>-9.1020895111747296E-2</v>
      </c>
      <c r="T4" s="136">
        <f t="shared" ref="T4:T40" si="9">IF(comp_type="formulas only",GetNormed(comp5,I4),IF(comp_type="per amount",GetNormed(comp5,I4)*CONVERT(comp_vol,comp_units,"ml"),GetNormed(comp5,I4)*comp_intake))</f>
        <v>119.03999999999999</v>
      </c>
      <c r="U4" s="174">
        <f t="shared" ref="U4:U46" si="10">IFERROR((T4-K4)/K4,"")</f>
        <v>0</v>
      </c>
      <c r="AE4" t="e">
        <f t="shared" ref="AE4:AE34" si="11">GetNormed(formula2,I4)</f>
        <v>#VALUE!</v>
      </c>
      <c r="AF4" t="e">
        <f t="shared" ref="AF4:AF34" si="12">(AE4-K4)/K4</f>
        <v>#VALUE!</v>
      </c>
    </row>
    <row r="5" spans="1:32" ht="15" customHeight="1" x14ac:dyDescent="0.25">
      <c r="B5" s="14"/>
      <c r="C5" s="17" t="s">
        <v>259</v>
      </c>
      <c r="D5" s="116" t="s">
        <v>260</v>
      </c>
      <c r="E5" s="16"/>
      <c r="G5" s="1"/>
      <c r="I5" s="93" t="s">
        <v>8</v>
      </c>
      <c r="J5" s="118" t="str">
        <f>IF(comp_type="formulas only",VLOOKUP(I5,tblUnits[],2,FALSE)&amp;"/ml",IF(comp_type="per amount",VLOOKUP(I5,tblUnits[],2,FALSE)&amp;"/"&amp;comp_vol&amp;" "&amp;comp_units,VLOOKUP(I5,tblUnits[],2,FALSE)&amp;"/kg"))</f>
        <v>g/kg</v>
      </c>
      <c r="K5" s="150">
        <f t="shared" si="0"/>
        <v>3.3327999999999998</v>
      </c>
      <c r="L5" s="124">
        <f t="shared" si="1"/>
        <v>2.2400000000000002</v>
      </c>
      <c r="M5" s="162">
        <f t="shared" si="2"/>
        <v>-0.32789246279404693</v>
      </c>
      <c r="N5" s="127">
        <f t="shared" si="3"/>
        <v>3.0297364340851325</v>
      </c>
      <c r="O5" s="165">
        <f t="shared" si="4"/>
        <v>-9.0933619153524756E-2</v>
      </c>
      <c r="P5" s="130">
        <f t="shared" si="5"/>
        <v>2.4887120708556445</v>
      </c>
      <c r="Q5" s="168">
        <f t="shared" si="6"/>
        <v>-0.25326690144753822</v>
      </c>
      <c r="R5" s="133">
        <f t="shared" si="7"/>
        <v>3.3543510520228255</v>
      </c>
      <c r="S5" s="171">
        <f t="shared" si="8"/>
        <v>6.4663502228833724E-3</v>
      </c>
      <c r="T5" s="136">
        <f t="shared" si="9"/>
        <v>3.3327999999999998</v>
      </c>
      <c r="U5" s="174">
        <f t="shared" si="10"/>
        <v>0</v>
      </c>
      <c r="AE5" t="e">
        <f t="shared" si="11"/>
        <v>#VALUE!</v>
      </c>
      <c r="AF5" t="e">
        <f t="shared" si="12"/>
        <v>#VALUE!</v>
      </c>
    </row>
    <row r="6" spans="1:32" ht="15" customHeight="1" x14ac:dyDescent="0.25">
      <c r="B6" s="14"/>
      <c r="C6" s="17"/>
      <c r="D6" s="97"/>
      <c r="E6" s="16"/>
      <c r="G6" s="1"/>
      <c r="I6" s="93" t="s">
        <v>7</v>
      </c>
      <c r="J6" s="118" t="str">
        <f>IF(comp_type="formulas only",VLOOKUP(I6,tblUnits[],2,FALSE)&amp;"/ml",IF(comp_type="per amount",VLOOKUP(I6,tblUnits[],2,FALSE)&amp;"/"&amp;comp_vol&amp;" "&amp;comp_units,VLOOKUP(I6,tblUnits[],2,FALSE)&amp;"/kg"))</f>
        <v>g/kg</v>
      </c>
      <c r="K6" s="150">
        <f t="shared" si="0"/>
        <v>6.547200000000001</v>
      </c>
      <c r="L6" s="124">
        <f t="shared" si="1"/>
        <v>6.048</v>
      </c>
      <c r="M6" s="162">
        <f t="shared" si="2"/>
        <v>-7.624633431085058E-2</v>
      </c>
      <c r="N6" s="127">
        <f t="shared" si="3"/>
        <v>5.7348582502325716</v>
      </c>
      <c r="O6" s="165">
        <f t="shared" si="4"/>
        <v>-0.12407468074404773</v>
      </c>
      <c r="P6" s="130">
        <f t="shared" si="5"/>
        <v>5.7348582502325716</v>
      </c>
      <c r="Q6" s="168">
        <f t="shared" si="6"/>
        <v>-0.12407468074404773</v>
      </c>
      <c r="R6" s="133">
        <f t="shared" si="7"/>
        <v>5.193833887003084</v>
      </c>
      <c r="S6" s="171">
        <f t="shared" si="8"/>
        <v>-0.20670914482479791</v>
      </c>
      <c r="T6" s="136">
        <f t="shared" si="9"/>
        <v>6.547200000000001</v>
      </c>
      <c r="U6" s="174">
        <f t="shared" si="10"/>
        <v>0</v>
      </c>
      <c r="AE6" t="e">
        <f t="shared" si="11"/>
        <v>#VALUE!</v>
      </c>
      <c r="AF6" t="e">
        <f t="shared" si="12"/>
        <v>#VALUE!</v>
      </c>
    </row>
    <row r="7" spans="1:32" ht="15" customHeight="1" x14ac:dyDescent="0.25">
      <c r="B7" s="14"/>
      <c r="C7" s="17" t="s">
        <v>50</v>
      </c>
      <c r="D7" s="115">
        <v>480</v>
      </c>
      <c r="E7" s="16"/>
      <c r="G7" s="1"/>
      <c r="I7" s="93" t="s">
        <v>5</v>
      </c>
      <c r="J7" s="118" t="str">
        <f>IF(comp_type="formulas only",VLOOKUP(I7,tblUnits[],2,FALSE)&amp;"/ml",IF(comp_type="per amount",VLOOKUP(I7,tblUnits[],2,FALSE)&amp;"/"&amp;comp_vol&amp;" "&amp;comp_units,VLOOKUP(I7,tblUnits[],2,FALSE)&amp;"/kg"))</f>
        <v>g/kg</v>
      </c>
      <c r="K7" s="150">
        <f t="shared" si="0"/>
        <v>12.016</v>
      </c>
      <c r="L7" s="124">
        <f t="shared" si="1"/>
        <v>11.584000000000001</v>
      </c>
      <c r="M7" s="162">
        <f t="shared" si="2"/>
        <v>-3.5952063914780175E-2</v>
      </c>
      <c r="N7" s="127">
        <f t="shared" si="3"/>
        <v>11.145101882527452</v>
      </c>
      <c r="O7" s="165">
        <f t="shared" si="4"/>
        <v>-7.2478205515358496E-2</v>
      </c>
      <c r="P7" s="130">
        <f t="shared" si="5"/>
        <v>11.68612624575694</v>
      </c>
      <c r="Q7" s="168">
        <f t="shared" si="6"/>
        <v>-2.7452875686006999E-2</v>
      </c>
      <c r="R7" s="133">
        <f t="shared" si="7"/>
        <v>11.577921373111042</v>
      </c>
      <c r="S7" s="171">
        <f t="shared" si="8"/>
        <v>-3.6457941651877296E-2</v>
      </c>
      <c r="T7" s="136">
        <f t="shared" si="9"/>
        <v>12.016</v>
      </c>
      <c r="U7" s="174">
        <f t="shared" si="10"/>
        <v>0</v>
      </c>
      <c r="AE7" t="e">
        <f t="shared" si="11"/>
        <v>#VALUE!</v>
      </c>
      <c r="AF7" t="e">
        <f t="shared" si="12"/>
        <v>#VALUE!</v>
      </c>
    </row>
    <row r="8" spans="1:32" ht="15" customHeight="1" x14ac:dyDescent="0.25">
      <c r="B8" s="14"/>
      <c r="C8" s="17" t="s">
        <v>52</v>
      </c>
      <c r="D8" s="114" t="s">
        <v>261</v>
      </c>
      <c r="E8" s="16"/>
      <c r="G8" s="1"/>
      <c r="I8" s="93" t="s">
        <v>6</v>
      </c>
      <c r="J8" s="118" t="str">
        <f>IF(comp_type="formulas only",VLOOKUP(I8,tblUnits[],2,FALSE)&amp;"/ml",IF(comp_type="per amount",VLOOKUP(I8,tblUnits[],2,FALSE)&amp;"/"&amp;comp_vol&amp;" "&amp;comp_units,VLOOKUP(I8,tblUnits[],2,FALSE)&amp;"/kg"))</f>
        <v>g/kg</v>
      </c>
      <c r="K8" s="150">
        <f t="shared" si="0"/>
        <v>142.88</v>
      </c>
      <c r="L8" s="124">
        <f t="shared" si="1"/>
        <v>143.84</v>
      </c>
      <c r="M8" s="162">
        <f t="shared" si="2"/>
        <v>6.7189249720045353E-3</v>
      </c>
      <c r="N8" s="127">
        <f t="shared" si="3"/>
        <v>143.91248061904381</v>
      </c>
      <c r="O8" s="165">
        <f t="shared" si="4"/>
        <v>7.2262081400042665E-3</v>
      </c>
      <c r="P8" s="130">
        <f t="shared" si="5"/>
        <v>143.91248061904381</v>
      </c>
      <c r="Q8" s="168">
        <f t="shared" si="6"/>
        <v>7.2262081400042665E-3</v>
      </c>
      <c r="R8" s="133">
        <f t="shared" si="7"/>
        <v>142.83043189258481</v>
      </c>
      <c r="S8" s="171">
        <f t="shared" si="8"/>
        <v>-3.4692124450716162E-4</v>
      </c>
      <c r="T8" s="136">
        <f t="shared" si="9"/>
        <v>142.88</v>
      </c>
      <c r="U8" s="174">
        <f t="shared" si="10"/>
        <v>0</v>
      </c>
      <c r="AE8" t="e">
        <f t="shared" si="11"/>
        <v>#VALUE!</v>
      </c>
      <c r="AF8" t="e">
        <f t="shared" si="12"/>
        <v>#VALUE!</v>
      </c>
    </row>
    <row r="9" spans="1:32" ht="15" customHeight="1" x14ac:dyDescent="0.25">
      <c r="B9" s="14"/>
      <c r="C9" s="17"/>
      <c r="D9" s="19"/>
      <c r="E9" s="16"/>
      <c r="G9" s="1"/>
      <c r="I9" s="93" t="s">
        <v>10</v>
      </c>
      <c r="J9" s="118" t="str">
        <f>IF(comp_type="formulas only",VLOOKUP(I9,tblUnits[],2,FALSE)&amp;"/ml",IF(comp_type="per amount",VLOOKUP(I9,tblUnits[],2,FALSE)&amp;"/"&amp;comp_vol&amp;" "&amp;comp_units,VLOOKUP(I9,tblUnits[],2,FALSE)&amp;"/kg"))</f>
        <v>mg/kg</v>
      </c>
      <c r="K9" s="150">
        <f t="shared" si="0"/>
        <v>892.64</v>
      </c>
      <c r="L9" s="124">
        <f t="shared" si="1"/>
        <v>1081.1199999999999</v>
      </c>
      <c r="M9" s="162">
        <f t="shared" si="2"/>
        <v>0.21114895142498646</v>
      </c>
      <c r="N9" s="127">
        <f t="shared" si="3"/>
        <v>930.56190475471931</v>
      </c>
      <c r="O9" s="165">
        <f t="shared" si="4"/>
        <v>4.248286515809209E-2</v>
      </c>
      <c r="P9" s="130">
        <f t="shared" si="5"/>
        <v>865.63898116718076</v>
      </c>
      <c r="Q9" s="168">
        <f t="shared" si="6"/>
        <v>-3.0248497527356189E-2</v>
      </c>
      <c r="R9" s="133">
        <f t="shared" si="7"/>
        <v>908.92093022553979</v>
      </c>
      <c r="S9" s="171">
        <f t="shared" si="8"/>
        <v>1.8239077596275997E-2</v>
      </c>
      <c r="T9" s="136">
        <f t="shared" si="9"/>
        <v>892.64</v>
      </c>
      <c r="U9" s="174">
        <f t="shared" si="10"/>
        <v>0</v>
      </c>
      <c r="AE9" t="e">
        <f t="shared" si="11"/>
        <v>#VALUE!</v>
      </c>
      <c r="AF9" t="e">
        <f t="shared" si="12"/>
        <v>#VALUE!</v>
      </c>
    </row>
    <row r="10" spans="1:32" ht="15" customHeight="1" x14ac:dyDescent="0.25">
      <c r="B10" s="14"/>
      <c r="C10" s="17" t="s">
        <v>73</v>
      </c>
      <c r="D10" s="115">
        <v>3</v>
      </c>
      <c r="E10" s="16"/>
      <c r="G10" s="1"/>
      <c r="H10" s="184" t="s">
        <v>53</v>
      </c>
      <c r="I10" s="152" t="s">
        <v>12</v>
      </c>
      <c r="J10" s="153" t="str">
        <f>IF(comp_type="formulas only",VLOOKUP(I10,tblUnits[],2,FALSE)&amp;"/ml",IF(comp_type="per amount",VLOOKUP(I10,tblUnits[],2,FALSE)&amp;"/"&amp;comp_vol&amp;" "&amp;comp_units,VLOOKUP(I10,tblUnits[],2,FALSE)&amp;"/kg"))</f>
        <v>IU/kg</v>
      </c>
      <c r="K10" s="154">
        <f t="shared" si="0"/>
        <v>416.64</v>
      </c>
      <c r="L10" s="155">
        <f t="shared" si="1"/>
        <v>324.64</v>
      </c>
      <c r="M10" s="163">
        <f t="shared" si="2"/>
        <v>-0.22081413210445469</v>
      </c>
      <c r="N10" s="156">
        <f t="shared" si="3"/>
        <v>324.6146179376928</v>
      </c>
      <c r="O10" s="166">
        <f t="shared" si="4"/>
        <v>-0.22087505295292625</v>
      </c>
      <c r="P10" s="157">
        <f t="shared" si="5"/>
        <v>324.6146179376928</v>
      </c>
      <c r="Q10" s="169">
        <f t="shared" si="6"/>
        <v>-0.22087505295292625</v>
      </c>
      <c r="R10" s="158">
        <f t="shared" si="7"/>
        <v>295.39930232330045</v>
      </c>
      <c r="S10" s="172">
        <f t="shared" si="8"/>
        <v>-0.29099629818716288</v>
      </c>
      <c r="T10" s="159">
        <f t="shared" si="9"/>
        <v>416.64</v>
      </c>
      <c r="U10" s="175">
        <f t="shared" si="10"/>
        <v>0</v>
      </c>
      <c r="AE10" t="e">
        <f t="shared" si="11"/>
        <v>#VALUE!</v>
      </c>
      <c r="AF10" t="e">
        <f t="shared" si="12"/>
        <v>#VALUE!</v>
      </c>
    </row>
    <row r="11" spans="1:32" ht="15" customHeight="1" x14ac:dyDescent="0.25">
      <c r="B11" s="14"/>
      <c r="C11" s="17"/>
      <c r="D11" s="19"/>
      <c r="E11" s="16"/>
      <c r="G11" s="1"/>
      <c r="H11" s="184"/>
      <c r="I11" s="119" t="s">
        <v>14</v>
      </c>
      <c r="J11" s="118" t="str">
        <f>IF(comp_type="formulas only",VLOOKUP(I11,tblUnits[],2,FALSE)&amp;"/ml",IF(comp_type="per amount",VLOOKUP(I11,tblUnits[],2,FALSE)&amp;"/"&amp;comp_vol&amp;" "&amp;comp_units,VLOOKUP(I11,tblUnits[],2,FALSE)&amp;"/kg"))</f>
        <v>IU/kg</v>
      </c>
      <c r="K11" s="150">
        <f t="shared" si="0"/>
        <v>83.36</v>
      </c>
      <c r="L11" s="124">
        <f t="shared" si="1"/>
        <v>81.12</v>
      </c>
      <c r="M11" s="162">
        <f t="shared" si="2"/>
        <v>-2.6871401151631415E-2</v>
      </c>
      <c r="N11" s="127">
        <f t="shared" si="3"/>
        <v>54.102436322948797</v>
      </c>
      <c r="O11" s="165">
        <f t="shared" si="4"/>
        <v>-0.35097845102028791</v>
      </c>
      <c r="P11" s="130">
        <f t="shared" si="5"/>
        <v>64.922923587538563</v>
      </c>
      <c r="Q11" s="168">
        <f t="shared" si="6"/>
        <v>-0.22117414122434545</v>
      </c>
      <c r="R11" s="133">
        <f t="shared" si="7"/>
        <v>64.922923587538563</v>
      </c>
      <c r="S11" s="171">
        <f t="shared" si="8"/>
        <v>-0.22117414122434545</v>
      </c>
      <c r="T11" s="136">
        <f t="shared" si="9"/>
        <v>83.36</v>
      </c>
      <c r="U11" s="174">
        <f t="shared" si="10"/>
        <v>0</v>
      </c>
      <c r="AE11" t="e">
        <f t="shared" si="11"/>
        <v>#VALUE!</v>
      </c>
      <c r="AF11" t="e">
        <f t="shared" si="12"/>
        <v>#VALUE!</v>
      </c>
    </row>
    <row r="12" spans="1:32" ht="15" customHeight="1" thickBot="1" x14ac:dyDescent="0.3">
      <c r="B12" s="14"/>
      <c r="C12" s="38"/>
      <c r="D12" s="38"/>
      <c r="E12" s="16"/>
      <c r="G12" s="1"/>
      <c r="H12" s="184"/>
      <c r="I12" s="119" t="s">
        <v>15</v>
      </c>
      <c r="J12" s="118" t="str">
        <f>IF(comp_type="formulas only",VLOOKUP(I12,tblUnits[],2,FALSE)&amp;"/ml",IF(comp_type="per amount",VLOOKUP(I12,tblUnits[],2,FALSE)&amp;"/"&amp;comp_vol&amp;" "&amp;comp_units,VLOOKUP(I12,tblUnits[],2,FALSE)&amp;"/kg"))</f>
        <v>IU/kg</v>
      </c>
      <c r="K12" s="150">
        <f t="shared" si="0"/>
        <v>4.2880000000000003</v>
      </c>
      <c r="L12" s="124">
        <f t="shared" si="1"/>
        <v>1.6159999999999999</v>
      </c>
      <c r="M12" s="162">
        <f t="shared" si="2"/>
        <v>-0.62313432835820903</v>
      </c>
      <c r="N12" s="127">
        <f t="shared" si="3"/>
        <v>2.164097452917952</v>
      </c>
      <c r="O12" s="165">
        <f t="shared" si="4"/>
        <v>-0.4953130940023433</v>
      </c>
      <c r="P12" s="130">
        <f t="shared" si="5"/>
        <v>2.164097452917952</v>
      </c>
      <c r="Q12" s="168">
        <f t="shared" si="6"/>
        <v>-0.4953130940023433</v>
      </c>
      <c r="R12" s="133">
        <f t="shared" si="7"/>
        <v>2.2723023255638495</v>
      </c>
      <c r="S12" s="171">
        <f t="shared" si="8"/>
        <v>-0.47007874870246052</v>
      </c>
      <c r="T12" s="136">
        <f t="shared" si="9"/>
        <v>4.2880000000000003</v>
      </c>
      <c r="U12" s="174">
        <f t="shared" si="10"/>
        <v>0</v>
      </c>
      <c r="AE12" t="e">
        <f t="shared" si="11"/>
        <v>#VALUE!</v>
      </c>
      <c r="AF12" t="e">
        <f t="shared" si="12"/>
        <v>#VALUE!</v>
      </c>
    </row>
    <row r="13" spans="1:32" ht="15" customHeight="1" thickTop="1" thickBot="1" x14ac:dyDescent="0.3">
      <c r="B13" s="14"/>
      <c r="C13" s="15" t="s">
        <v>262</v>
      </c>
      <c r="D13" s="15"/>
      <c r="E13" s="16"/>
      <c r="G13" s="1"/>
      <c r="H13" s="184"/>
      <c r="I13" s="119" t="s">
        <v>16</v>
      </c>
      <c r="J13" s="118" t="str">
        <f>IF(comp_type="formulas only",VLOOKUP(I13,tblUnits[],2,FALSE)&amp;"/ml",IF(comp_type="per amount",VLOOKUP(I13,tblUnits[],2,FALSE)&amp;"/"&amp;comp_vol&amp;" "&amp;comp_units,VLOOKUP(I13,tblUnits[],2,FALSE)&amp;"/kg"))</f>
        <v>mcg/kg</v>
      </c>
      <c r="K13" s="150">
        <f t="shared" si="0"/>
        <v>13.087999999999999</v>
      </c>
      <c r="L13" s="124">
        <f t="shared" si="1"/>
        <v>8.64</v>
      </c>
      <c r="M13" s="162">
        <f t="shared" si="2"/>
        <v>-0.33985330073349623</v>
      </c>
      <c r="N13" s="127">
        <f t="shared" si="3"/>
        <v>9.738438538130783</v>
      </c>
      <c r="O13" s="165">
        <f t="shared" si="4"/>
        <v>-0.25592615081519077</v>
      </c>
      <c r="P13" s="130">
        <f t="shared" si="5"/>
        <v>9.738438538130783</v>
      </c>
      <c r="Q13" s="168">
        <f t="shared" si="6"/>
        <v>-0.25592615081519077</v>
      </c>
      <c r="R13" s="133">
        <f t="shared" si="7"/>
        <v>14.066633443966687</v>
      </c>
      <c r="S13" s="171">
        <f t="shared" si="8"/>
        <v>7.4773337711391177E-2</v>
      </c>
      <c r="T13" s="136">
        <f t="shared" si="9"/>
        <v>13.087999999999999</v>
      </c>
      <c r="U13" s="174">
        <f t="shared" si="10"/>
        <v>0</v>
      </c>
      <c r="AE13" t="e">
        <f t="shared" si="11"/>
        <v>#VALUE!</v>
      </c>
      <c r="AF13" t="e">
        <f t="shared" si="12"/>
        <v>#VALUE!</v>
      </c>
    </row>
    <row r="14" spans="1:32" ht="15" customHeight="1" thickTop="1" x14ac:dyDescent="0.25">
      <c r="B14" s="14"/>
      <c r="C14" s="37" t="s">
        <v>223</v>
      </c>
      <c r="D14" s="115" t="s">
        <v>219</v>
      </c>
      <c r="E14" s="16"/>
      <c r="G14" s="1"/>
      <c r="H14" s="184"/>
      <c r="I14" s="119" t="s">
        <v>18</v>
      </c>
      <c r="J14" s="118" t="str">
        <f>IF(comp_type="formulas only",VLOOKUP(I14,tblUnits[],2,FALSE)&amp;"/ml",IF(comp_type="per amount",VLOOKUP(I14,tblUnits[],2,FALSE)&amp;"/"&amp;comp_vol&amp;" "&amp;comp_units,VLOOKUP(I14,tblUnits[],2,FALSE)&amp;"/kg"))</f>
        <v>mcg/kg</v>
      </c>
      <c r="K14" s="150">
        <f t="shared" si="0"/>
        <v>208.32</v>
      </c>
      <c r="L14" s="124">
        <f t="shared" si="1"/>
        <v>108.16000000000001</v>
      </c>
      <c r="M14" s="162">
        <f t="shared" si="2"/>
        <v>-0.48079877112135172</v>
      </c>
      <c r="N14" s="127">
        <f t="shared" si="3"/>
        <v>86.563898116718079</v>
      </c>
      <c r="O14" s="165">
        <f t="shared" si="4"/>
        <v>-0.58446669490822734</v>
      </c>
      <c r="P14" s="130">
        <f t="shared" si="5"/>
        <v>86.563898116718079</v>
      </c>
      <c r="Q14" s="168">
        <f t="shared" si="6"/>
        <v>-0.58446669490822734</v>
      </c>
      <c r="R14" s="133">
        <f t="shared" si="7"/>
        <v>227.23023255638495</v>
      </c>
      <c r="S14" s="171">
        <f t="shared" si="8"/>
        <v>9.0774925865903203E-2</v>
      </c>
      <c r="T14" s="136">
        <f t="shared" si="9"/>
        <v>208.32</v>
      </c>
      <c r="U14" s="174">
        <f t="shared" si="10"/>
        <v>0</v>
      </c>
      <c r="AE14" t="e">
        <f t="shared" si="11"/>
        <v>#VALUE!</v>
      </c>
      <c r="AF14" t="e">
        <f t="shared" si="12"/>
        <v>#VALUE!</v>
      </c>
    </row>
    <row r="15" spans="1:32" ht="15" customHeight="1" x14ac:dyDescent="0.25">
      <c r="B15" s="30"/>
      <c r="C15" s="37" t="s">
        <v>222</v>
      </c>
      <c r="D15" s="115" t="s">
        <v>256</v>
      </c>
      <c r="E15" s="16"/>
      <c r="G15" s="1"/>
      <c r="H15" s="184"/>
      <c r="I15" s="119" t="s">
        <v>19</v>
      </c>
      <c r="J15" s="118" t="str">
        <f>IF(comp_type="formulas only",VLOOKUP(I15,tblUnits[],2,FALSE)&amp;"/ml",IF(comp_type="per amount",VLOOKUP(I15,tblUnits[],2,FALSE)&amp;"/"&amp;comp_vol&amp;" "&amp;comp_units,VLOOKUP(I15,tblUnits[],2,FALSE)&amp;"/kg"))</f>
        <v>mcg/kg</v>
      </c>
      <c r="K15" s="150">
        <f t="shared" si="0"/>
        <v>178.56</v>
      </c>
      <c r="L15" s="124">
        <f t="shared" si="1"/>
        <v>162.24</v>
      </c>
      <c r="M15" s="162">
        <f t="shared" si="2"/>
        <v>-9.1397849462365552E-2</v>
      </c>
      <c r="N15" s="127">
        <f t="shared" si="3"/>
        <v>97.384385381307823</v>
      </c>
      <c r="O15" s="165">
        <f t="shared" si="4"/>
        <v>-0.45461253706704852</v>
      </c>
      <c r="P15" s="130">
        <f t="shared" si="5"/>
        <v>151.48682170425664</v>
      </c>
      <c r="Q15" s="168">
        <f t="shared" si="6"/>
        <v>-0.1516195021042975</v>
      </c>
      <c r="R15" s="133">
        <f t="shared" si="7"/>
        <v>113.61511627819247</v>
      </c>
      <c r="S15" s="171">
        <f t="shared" si="8"/>
        <v>-0.36371462657822318</v>
      </c>
      <c r="T15" s="136">
        <f t="shared" si="9"/>
        <v>178.56</v>
      </c>
      <c r="U15" s="174">
        <f t="shared" si="10"/>
        <v>0</v>
      </c>
      <c r="AE15" t="e">
        <f t="shared" si="11"/>
        <v>#VALUE!</v>
      </c>
      <c r="AF15" t="e">
        <f t="shared" si="12"/>
        <v>#VALUE!</v>
      </c>
    </row>
    <row r="16" spans="1:32" ht="15" customHeight="1" x14ac:dyDescent="0.25">
      <c r="B16" s="30"/>
      <c r="C16" s="37" t="s">
        <v>263</v>
      </c>
      <c r="D16" s="115" t="s">
        <v>247</v>
      </c>
      <c r="E16" s="16"/>
      <c r="G16" s="1"/>
      <c r="H16" s="184"/>
      <c r="I16" s="119" t="s">
        <v>20</v>
      </c>
      <c r="J16" s="118" t="str">
        <f>IF(comp_type="formulas only",VLOOKUP(I16,tblUnits[],2,FALSE)&amp;"/ml",IF(comp_type="per amount",VLOOKUP(I16,tblUnits[],2,FALSE)&amp;"/"&amp;comp_vol&amp;" "&amp;comp_units,VLOOKUP(I16,tblUnits[],2,FALSE)&amp;"/kg"))</f>
        <v>mcg/kg</v>
      </c>
      <c r="K16" s="150">
        <f t="shared" si="0"/>
        <v>119.03999999999999</v>
      </c>
      <c r="L16" s="124">
        <f t="shared" si="1"/>
        <v>64.960000000000008</v>
      </c>
      <c r="M16" s="162">
        <f t="shared" si="2"/>
        <v>-0.45430107526881708</v>
      </c>
      <c r="N16" s="127">
        <f t="shared" si="3"/>
        <v>64.922923587538563</v>
      </c>
      <c r="O16" s="165">
        <f t="shared" si="4"/>
        <v>-0.45461253706704835</v>
      </c>
      <c r="P16" s="130">
        <f t="shared" si="5"/>
        <v>64.922923587538563</v>
      </c>
      <c r="Q16" s="168">
        <f t="shared" si="6"/>
        <v>-0.45461253706704835</v>
      </c>
      <c r="R16" s="133">
        <f t="shared" si="7"/>
        <v>91.108502767845778</v>
      </c>
      <c r="S16" s="171">
        <f t="shared" si="8"/>
        <v>-0.23463959368409121</v>
      </c>
      <c r="T16" s="136">
        <f t="shared" si="9"/>
        <v>119.03999999999999</v>
      </c>
      <c r="U16" s="174">
        <f t="shared" si="10"/>
        <v>0</v>
      </c>
      <c r="AE16" t="e">
        <f t="shared" si="11"/>
        <v>#VALUE!</v>
      </c>
      <c r="AF16" t="e">
        <f t="shared" si="12"/>
        <v>#VALUE!</v>
      </c>
    </row>
    <row r="17" spans="2:32" ht="15" customHeight="1" x14ac:dyDescent="0.25">
      <c r="B17" s="30"/>
      <c r="C17" s="37" t="s">
        <v>264</v>
      </c>
      <c r="D17" s="115" t="s">
        <v>100</v>
      </c>
      <c r="E17" s="16"/>
      <c r="G17" s="1"/>
      <c r="H17" s="184"/>
      <c r="I17" s="119" t="s">
        <v>21</v>
      </c>
      <c r="J17" s="118" t="str">
        <f>IF(comp_type="formulas only",VLOOKUP(I17,tblUnits[],2,FALSE)&amp;"/ml",IF(comp_type="per amount",VLOOKUP(I17,tblUnits[],2,FALSE)&amp;"/"&amp;comp_vol&amp;" "&amp;comp_units,VLOOKUP(I17,tblUnits[],2,FALSE)&amp;"/kg"))</f>
        <v>mcg/kg</v>
      </c>
      <c r="K17" s="150">
        <f t="shared" si="0"/>
        <v>0.4768</v>
      </c>
      <c r="L17" s="124">
        <f t="shared" si="1"/>
        <v>0.27039999999999997</v>
      </c>
      <c r="M17" s="162">
        <f t="shared" si="2"/>
        <v>-0.4328859060402685</v>
      </c>
      <c r="N17" s="127">
        <f t="shared" si="3"/>
        <v>0.32461461793769275</v>
      </c>
      <c r="O17" s="165">
        <f t="shared" si="4"/>
        <v>-0.31918075096960413</v>
      </c>
      <c r="P17" s="130">
        <f t="shared" si="5"/>
        <v>0.32461461793769275</v>
      </c>
      <c r="Q17" s="168">
        <f t="shared" si="6"/>
        <v>-0.31918075096960413</v>
      </c>
      <c r="R17" s="133">
        <f t="shared" si="7"/>
        <v>0.43281949058359037</v>
      </c>
      <c r="S17" s="171">
        <f t="shared" si="8"/>
        <v>-9.2241001292805436E-2</v>
      </c>
      <c r="T17" s="136">
        <f t="shared" si="9"/>
        <v>0.4768</v>
      </c>
      <c r="U17" s="174">
        <f t="shared" si="10"/>
        <v>0</v>
      </c>
      <c r="AE17" t="e">
        <f t="shared" si="11"/>
        <v>#VALUE!</v>
      </c>
      <c r="AF17" t="e">
        <f t="shared" si="12"/>
        <v>#VALUE!</v>
      </c>
    </row>
    <row r="18" spans="2:32" ht="15" customHeight="1" x14ac:dyDescent="0.25">
      <c r="B18" s="30"/>
      <c r="C18" s="37" t="s">
        <v>265</v>
      </c>
      <c r="D18" s="115" t="s">
        <v>1</v>
      </c>
      <c r="E18" s="16"/>
      <c r="G18" s="1"/>
      <c r="H18" s="184"/>
      <c r="I18" s="119" t="s">
        <v>22</v>
      </c>
      <c r="J18" s="118" t="str">
        <f>IF(comp_type="formulas only",VLOOKUP(I18,tblUnits[],2,FALSE)&amp;"/ml",IF(comp_type="per amount",VLOOKUP(I18,tblUnits[],2,FALSE)&amp;"/"&amp;comp_vol&amp;" "&amp;comp_units,VLOOKUP(I18,tblUnits[],2,FALSE)&amp;"/kg"))</f>
        <v>mcg/kg</v>
      </c>
      <c r="K18" s="150">
        <f t="shared" si="0"/>
        <v>2320.96</v>
      </c>
      <c r="L18" s="124">
        <f t="shared" si="1"/>
        <v>1136.1600000000001</v>
      </c>
      <c r="M18" s="162">
        <f t="shared" si="2"/>
        <v>-0.51047842272163235</v>
      </c>
      <c r="N18" s="127">
        <f t="shared" si="3"/>
        <v>1082.048726458976</v>
      </c>
      <c r="O18" s="165">
        <f t="shared" si="4"/>
        <v>-0.53379260027791253</v>
      </c>
      <c r="P18" s="130">
        <f t="shared" si="5"/>
        <v>1082.048726458976</v>
      </c>
      <c r="Q18" s="168">
        <f t="shared" si="6"/>
        <v>-0.53379260027791253</v>
      </c>
      <c r="R18" s="133">
        <f t="shared" si="7"/>
        <v>1817.8418604510796</v>
      </c>
      <c r="S18" s="171">
        <f t="shared" si="8"/>
        <v>-0.21677156846689319</v>
      </c>
      <c r="T18" s="136">
        <f t="shared" si="9"/>
        <v>2320.96</v>
      </c>
      <c r="U18" s="174">
        <f t="shared" si="10"/>
        <v>0</v>
      </c>
      <c r="AE18" t="e">
        <f t="shared" si="11"/>
        <v>#VALUE!</v>
      </c>
      <c r="AF18" t="e">
        <f t="shared" si="12"/>
        <v>#VALUE!</v>
      </c>
    </row>
    <row r="19" spans="2:32" ht="15" customHeight="1" x14ac:dyDescent="0.25">
      <c r="B19" s="30"/>
      <c r="C19" s="17"/>
      <c r="D19" s="19"/>
      <c r="E19" s="16"/>
      <c r="G19" s="1"/>
      <c r="H19" s="184"/>
      <c r="I19" s="119" t="s">
        <v>23</v>
      </c>
      <c r="J19" s="118" t="str">
        <f>IF(comp_type="formulas only",VLOOKUP(I19,tblUnits[],2,FALSE)&amp;"/ml",IF(comp_type="per amount",VLOOKUP(I19,tblUnits[],2,FALSE)&amp;"/"&amp;comp_vol&amp;" "&amp;comp_units,VLOOKUP(I19,tblUnits[],2,FALSE)&amp;"/kg"))</f>
        <v>mcg/kg</v>
      </c>
      <c r="K19" s="150">
        <f t="shared" si="0"/>
        <v>29.759999999999998</v>
      </c>
      <c r="L19" s="124">
        <f t="shared" si="1"/>
        <v>16.16</v>
      </c>
      <c r="M19" s="162">
        <f t="shared" si="2"/>
        <v>-0.45698924731182794</v>
      </c>
      <c r="N19" s="127">
        <f t="shared" si="3"/>
        <v>17.312779623343616</v>
      </c>
      <c r="O19" s="165">
        <f t="shared" si="4"/>
        <v>-0.41825337287151826</v>
      </c>
      <c r="P19" s="130">
        <f t="shared" si="5"/>
        <v>17.312779623343616</v>
      </c>
      <c r="Q19" s="168">
        <f t="shared" si="6"/>
        <v>-0.41825337287151826</v>
      </c>
      <c r="R19" s="133">
        <f t="shared" si="7"/>
        <v>31.920437430539792</v>
      </c>
      <c r="S19" s="171">
        <f t="shared" si="8"/>
        <v>7.259534376813824E-2</v>
      </c>
      <c r="T19" s="136">
        <f t="shared" si="9"/>
        <v>29.759999999999998</v>
      </c>
      <c r="U19" s="174">
        <f t="shared" si="10"/>
        <v>0</v>
      </c>
      <c r="AE19" t="e">
        <f t="shared" si="11"/>
        <v>#VALUE!</v>
      </c>
      <c r="AF19" t="e">
        <f t="shared" si="12"/>
        <v>#VALUE!</v>
      </c>
    </row>
    <row r="20" spans="2:32" ht="15" customHeight="1" x14ac:dyDescent="0.25">
      <c r="B20" s="30"/>
      <c r="C20" s="17"/>
      <c r="D20" s="19"/>
      <c r="E20" s="16"/>
      <c r="G20" s="1"/>
      <c r="H20" s="184"/>
      <c r="I20" s="119" t="s">
        <v>24</v>
      </c>
      <c r="J20" s="118" t="str">
        <f>IF(comp_type="formulas only",VLOOKUP(I20,tblUnits[],2,FALSE)&amp;"/ml",IF(comp_type="per amount",VLOOKUP(I20,tblUnits[],2,FALSE)&amp;"/"&amp;comp_vol&amp;" "&amp;comp_units,VLOOKUP(I20,tblUnits[],2,FALSE)&amp;"/kg"))</f>
        <v>mcg/kg</v>
      </c>
      <c r="K20" s="150">
        <f t="shared" si="0"/>
        <v>952.16</v>
      </c>
      <c r="L20" s="124">
        <f t="shared" si="1"/>
        <v>486.88</v>
      </c>
      <c r="M20" s="162">
        <f t="shared" si="2"/>
        <v>-0.48865736850949421</v>
      </c>
      <c r="N20" s="127">
        <f t="shared" si="3"/>
        <v>541.02436322948802</v>
      </c>
      <c r="O20" s="165">
        <f t="shared" si="4"/>
        <v>-0.43179259449095947</v>
      </c>
      <c r="P20" s="130">
        <f t="shared" si="5"/>
        <v>541.02436322948802</v>
      </c>
      <c r="Q20" s="168">
        <f t="shared" si="6"/>
        <v>-0.43179259449095947</v>
      </c>
      <c r="R20" s="133">
        <f t="shared" si="7"/>
        <v>455.54251383922889</v>
      </c>
      <c r="S20" s="171">
        <f t="shared" si="8"/>
        <v>-0.52156936456138792</v>
      </c>
      <c r="T20" s="136">
        <f t="shared" si="9"/>
        <v>952.16</v>
      </c>
      <c r="U20" s="174">
        <f t="shared" si="10"/>
        <v>0</v>
      </c>
      <c r="AE20" t="e">
        <f t="shared" si="11"/>
        <v>#VALUE!</v>
      </c>
      <c r="AF20" t="e">
        <f t="shared" si="12"/>
        <v>#VALUE!</v>
      </c>
    </row>
    <row r="21" spans="2:32" ht="15" customHeight="1" x14ac:dyDescent="0.25">
      <c r="B21" s="30"/>
      <c r="C21" s="97"/>
      <c r="D21" s="97"/>
      <c r="E21" s="31"/>
      <c r="G21" s="1"/>
      <c r="H21" s="184"/>
      <c r="I21" s="119" t="s">
        <v>25</v>
      </c>
      <c r="J21" s="118" t="str">
        <f>IF(comp_type="formulas only",VLOOKUP(I21,tblUnits[],2,FALSE)&amp;"/ml",IF(comp_type="per amount",VLOOKUP(I21,tblUnits[],2,FALSE)&amp;"/"&amp;comp_vol&amp;" "&amp;comp_units,VLOOKUP(I21,tblUnits[],2,FALSE)&amp;"/kg"))</f>
        <v>mcg/kg</v>
      </c>
      <c r="K21" s="150">
        <f t="shared" si="0"/>
        <v>10.72</v>
      </c>
      <c r="L21" s="124">
        <f t="shared" si="1"/>
        <v>4.7679999999999998</v>
      </c>
      <c r="M21" s="162">
        <f t="shared" si="2"/>
        <v>-0.555223880597015</v>
      </c>
      <c r="N21" s="127">
        <f t="shared" si="3"/>
        <v>3.246146179376928</v>
      </c>
      <c r="O21" s="165">
        <f t="shared" si="4"/>
        <v>-0.69718785640140601</v>
      </c>
      <c r="P21" s="130">
        <f t="shared" si="5"/>
        <v>3.246146179376928</v>
      </c>
      <c r="Q21" s="168">
        <f t="shared" si="6"/>
        <v>-0.69718785640140601</v>
      </c>
      <c r="R21" s="133">
        <f t="shared" si="7"/>
        <v>4.544604651127699</v>
      </c>
      <c r="S21" s="171">
        <f t="shared" si="8"/>
        <v>-0.57606299896196844</v>
      </c>
      <c r="T21" s="136">
        <f t="shared" si="9"/>
        <v>10.72</v>
      </c>
      <c r="U21" s="174">
        <f t="shared" si="10"/>
        <v>0</v>
      </c>
      <c r="AE21" t="e">
        <f t="shared" si="11"/>
        <v>#VALUE!</v>
      </c>
      <c r="AF21" t="e">
        <f t="shared" si="12"/>
        <v>#VALUE!</v>
      </c>
    </row>
    <row r="22" spans="2:32" ht="15" customHeight="1" x14ac:dyDescent="0.25">
      <c r="B22" s="30"/>
      <c r="C22" s="97"/>
      <c r="D22" s="97"/>
      <c r="E22" s="31"/>
      <c r="G22" s="1"/>
      <c r="H22" s="184"/>
      <c r="I22" s="119" t="s">
        <v>26</v>
      </c>
      <c r="J22" s="118" t="str">
        <f>IF(comp_type="formulas only",VLOOKUP(I22,tblUnits[],2,FALSE)&amp;"/ml",IF(comp_type="per amount",VLOOKUP(I22,tblUnits[],2,FALSE)&amp;"/"&amp;comp_vol&amp;" "&amp;comp_units,VLOOKUP(I22,tblUnits[],2,FALSE)&amp;"/kg"))</f>
        <v>mg/kg</v>
      </c>
      <c r="K22" s="150">
        <f t="shared" si="0"/>
        <v>17.920000000000002</v>
      </c>
      <c r="L22" s="124">
        <f t="shared" si="1"/>
        <v>9.76</v>
      </c>
      <c r="M22" s="162">
        <f t="shared" si="2"/>
        <v>-0.4553571428571429</v>
      </c>
      <c r="N22" s="127">
        <f t="shared" si="3"/>
        <v>12.984584717507712</v>
      </c>
      <c r="O22" s="165">
        <f t="shared" si="4"/>
        <v>-0.2754137992462215</v>
      </c>
      <c r="P22" s="130">
        <f t="shared" si="5"/>
        <v>12.984584717507712</v>
      </c>
      <c r="Q22" s="168">
        <f t="shared" si="6"/>
        <v>-0.2754137992462215</v>
      </c>
      <c r="R22" s="133">
        <f t="shared" si="7"/>
        <v>9.738438538130783</v>
      </c>
      <c r="S22" s="171">
        <f t="shared" si="8"/>
        <v>-0.45656034943466617</v>
      </c>
      <c r="T22" s="136">
        <f t="shared" si="9"/>
        <v>17.920000000000002</v>
      </c>
      <c r="U22" s="174">
        <f t="shared" si="10"/>
        <v>0</v>
      </c>
      <c r="AE22" t="e">
        <f t="shared" si="11"/>
        <v>#VALUE!</v>
      </c>
      <c r="AF22" t="e">
        <f t="shared" si="12"/>
        <v>#VALUE!</v>
      </c>
    </row>
    <row r="23" spans="2:32" ht="15" customHeight="1" thickBot="1" x14ac:dyDescent="0.3">
      <c r="B23" s="30"/>
      <c r="C23" s="97"/>
      <c r="D23" s="97"/>
      <c r="E23" s="97"/>
      <c r="G23" s="1"/>
      <c r="H23" s="184"/>
      <c r="I23" s="119" t="s">
        <v>27</v>
      </c>
      <c r="J23" s="118" t="str">
        <f>IF(comp_type="formulas only",VLOOKUP(I23,tblUnits[],2,FALSE)&amp;"/ml",IF(comp_type="per amount",VLOOKUP(I23,tblUnits[],2,FALSE)&amp;"/"&amp;comp_vol&amp;" "&amp;comp_units,VLOOKUP(I23,tblUnits[],2,FALSE)&amp;"/kg"))</f>
        <v>mg/kg</v>
      </c>
      <c r="K23" s="150">
        <f t="shared" si="0"/>
        <v>19.04</v>
      </c>
      <c r="L23" s="124">
        <f t="shared" si="1"/>
        <v>17.28</v>
      </c>
      <c r="M23" s="162">
        <f t="shared" si="2"/>
        <v>-9.243697478991586E-2</v>
      </c>
      <c r="N23" s="127">
        <f t="shared" si="3"/>
        <v>25.969169435015424</v>
      </c>
      <c r="O23" s="165">
        <f t="shared" si="4"/>
        <v>0.36392696612475972</v>
      </c>
      <c r="P23" s="130">
        <f t="shared" si="5"/>
        <v>25.969169435015424</v>
      </c>
      <c r="Q23" s="168">
        <f t="shared" si="6"/>
        <v>0.36392696612475972</v>
      </c>
      <c r="R23" s="133">
        <f t="shared" si="7"/>
        <v>16.230730896884641</v>
      </c>
      <c r="S23" s="171">
        <f t="shared" si="8"/>
        <v>-0.14754564617202515</v>
      </c>
      <c r="T23" s="136">
        <f t="shared" si="9"/>
        <v>19.04</v>
      </c>
      <c r="U23" s="174">
        <f t="shared" si="10"/>
        <v>0</v>
      </c>
      <c r="AE23" t="e">
        <f t="shared" si="11"/>
        <v>#VALUE!</v>
      </c>
      <c r="AF23" t="e">
        <f t="shared" si="12"/>
        <v>#VALUE!</v>
      </c>
    </row>
    <row r="24" spans="2:32" ht="15" customHeight="1" thickTop="1" thickBot="1" x14ac:dyDescent="0.3">
      <c r="B24" s="30"/>
      <c r="C24" s="15" t="s">
        <v>75</v>
      </c>
      <c r="D24" s="15"/>
      <c r="E24" s="97"/>
      <c r="G24" s="1"/>
      <c r="H24" s="184"/>
      <c r="I24" s="119" t="s">
        <v>28</v>
      </c>
      <c r="J24" s="118" t="str">
        <f>IF(comp_type="formulas only",VLOOKUP(I24,tblUnits[],2,FALSE)&amp;"/ml",IF(comp_type="per amount",VLOOKUP(I24,tblUnits[],2,FALSE)&amp;"/"&amp;comp_vol&amp;" "&amp;comp_units,VLOOKUP(I24,tblUnits[],2,FALSE)&amp;"/kg"))</f>
        <v>mg/kg</v>
      </c>
      <c r="K24" s="150">
        <f t="shared" si="0"/>
        <v>41.6</v>
      </c>
      <c r="L24" s="124">
        <f t="shared" si="1"/>
        <v>5.0880000000000001</v>
      </c>
      <c r="M24" s="162">
        <f t="shared" si="2"/>
        <v>-0.87769230769230766</v>
      </c>
      <c r="N24" s="127">
        <f t="shared" si="3"/>
        <v>18.394828349802591</v>
      </c>
      <c r="O24" s="165">
        <f t="shared" si="4"/>
        <v>-0.5578166262066685</v>
      </c>
      <c r="P24" s="130">
        <f t="shared" si="5"/>
        <v>6.4922923587538559</v>
      </c>
      <c r="Q24" s="168">
        <f t="shared" si="6"/>
        <v>-0.84393527983764771</v>
      </c>
      <c r="R24" s="133">
        <f t="shared" si="7"/>
        <v>5.5184485049407774</v>
      </c>
      <c r="S24" s="171">
        <f t="shared" si="8"/>
        <v>-0.86734498786200054</v>
      </c>
      <c r="T24" s="136">
        <f t="shared" si="9"/>
        <v>41.6</v>
      </c>
      <c r="U24" s="174">
        <f t="shared" si="10"/>
        <v>0</v>
      </c>
      <c r="AE24" t="e">
        <f t="shared" si="11"/>
        <v>#VALUE!</v>
      </c>
      <c r="AF24" t="e">
        <f t="shared" si="12"/>
        <v>#VALUE!</v>
      </c>
    </row>
    <row r="25" spans="2:32" ht="15" customHeight="1" thickTop="1" x14ac:dyDescent="0.25">
      <c r="B25" s="14"/>
      <c r="C25" s="17" t="s">
        <v>118</v>
      </c>
      <c r="D25" s="4">
        <f>IF(comp_type="formulas only","",ROUND(IF(comp_units="ml",(comp_vol/comp_wgt),(CONVERT(comp_vol,comp_units,"ml")/comp_wgt)),1))</f>
        <v>160</v>
      </c>
      <c r="E25" s="97"/>
      <c r="G25" s="1"/>
      <c r="H25" s="185" t="s">
        <v>54</v>
      </c>
      <c r="I25" s="152" t="s">
        <v>29</v>
      </c>
      <c r="J25" s="153" t="str">
        <f>IF(comp_type="formulas only",VLOOKUP(I25,tblUnits[],2,FALSE)&amp;"/ml",IF(comp_type="per amount",VLOOKUP(I25,tblUnits[],2,FALSE)&amp;"/"&amp;comp_vol&amp;" "&amp;comp_units,VLOOKUP(I25,tblUnits[],2,FALSE)&amp;"/kg"))</f>
        <v>mg/kg</v>
      </c>
      <c r="K25" s="154">
        <f t="shared" si="0"/>
        <v>124.96000000000001</v>
      </c>
      <c r="L25" s="155">
        <f t="shared" si="1"/>
        <v>84.48</v>
      </c>
      <c r="M25" s="163">
        <f t="shared" si="2"/>
        <v>-0.323943661971831</v>
      </c>
      <c r="N25" s="156">
        <f t="shared" si="3"/>
        <v>101.71258028714374</v>
      </c>
      <c r="O25" s="166">
        <f t="shared" si="4"/>
        <v>-0.18603889014769742</v>
      </c>
      <c r="P25" s="157">
        <f t="shared" si="5"/>
        <v>88.727995569636022</v>
      </c>
      <c r="Q25" s="169">
        <f t="shared" si="6"/>
        <v>-0.28994881906501269</v>
      </c>
      <c r="R25" s="158">
        <f t="shared" si="7"/>
        <v>125.5176522692412</v>
      </c>
      <c r="S25" s="172">
        <f t="shared" si="8"/>
        <v>4.4626462007137362E-3</v>
      </c>
      <c r="T25" s="159">
        <f t="shared" si="9"/>
        <v>124.96000000000001</v>
      </c>
      <c r="U25" s="175">
        <f t="shared" si="10"/>
        <v>0</v>
      </c>
      <c r="AE25" t="e">
        <f t="shared" si="11"/>
        <v>#VALUE!</v>
      </c>
      <c r="AF25" t="e">
        <f t="shared" si="12"/>
        <v>#VALUE!</v>
      </c>
    </row>
    <row r="26" spans="2:32" ht="15" customHeight="1" x14ac:dyDescent="0.25">
      <c r="B26" s="14"/>
      <c r="C26" s="17"/>
      <c r="D26" s="97"/>
      <c r="E26" s="97"/>
      <c r="G26" s="1"/>
      <c r="H26" s="185"/>
      <c r="I26" s="119" t="s">
        <v>30</v>
      </c>
      <c r="J26" s="118" t="str">
        <f>IF(comp_type="formulas only",VLOOKUP(I26,tblUnits[],2,FALSE)&amp;"/ml",IF(comp_type="per amount",VLOOKUP(I26,tblUnits[],2,FALSE)&amp;"/"&amp;comp_vol&amp;" "&amp;comp_units,VLOOKUP(I26,tblUnits[],2,FALSE)&amp;"/kg"))</f>
        <v>mg/kg</v>
      </c>
      <c r="K26" s="150">
        <f t="shared" si="0"/>
        <v>73.760000000000005</v>
      </c>
      <c r="L26" s="124">
        <f t="shared" si="1"/>
        <v>45.44</v>
      </c>
      <c r="M26" s="162">
        <f t="shared" si="2"/>
        <v>-0.38394793926247295</v>
      </c>
      <c r="N26" s="127">
        <f t="shared" si="3"/>
        <v>56.266533775866748</v>
      </c>
      <c r="O26" s="165">
        <f t="shared" si="4"/>
        <v>-0.23716738373282614</v>
      </c>
      <c r="P26" s="130">
        <f t="shared" si="5"/>
        <v>49.77424141711289</v>
      </c>
      <c r="Q26" s="168">
        <f t="shared" si="6"/>
        <v>-0.32518653176365392</v>
      </c>
      <c r="R26" s="133">
        <f t="shared" si="7"/>
        <v>91.108502767845778</v>
      </c>
      <c r="S26" s="171">
        <f t="shared" si="8"/>
        <v>0.23520204403261621</v>
      </c>
      <c r="T26" s="136">
        <f t="shared" si="9"/>
        <v>73.760000000000005</v>
      </c>
      <c r="U26" s="174">
        <f t="shared" si="10"/>
        <v>0</v>
      </c>
      <c r="AE26" t="e">
        <f t="shared" si="11"/>
        <v>#VALUE!</v>
      </c>
      <c r="AF26" t="e">
        <f t="shared" si="12"/>
        <v>#VALUE!</v>
      </c>
    </row>
    <row r="27" spans="2:32" ht="15" customHeight="1" x14ac:dyDescent="0.25">
      <c r="B27" s="14"/>
      <c r="C27" s="17"/>
      <c r="D27" s="97"/>
      <c r="E27" s="97"/>
      <c r="G27" s="1"/>
      <c r="H27" s="185"/>
      <c r="I27" s="119" t="s">
        <v>31</v>
      </c>
      <c r="J27" s="118" t="str">
        <f>IF(comp_type="formulas only",VLOOKUP(I27,tblUnits[],2,FALSE)&amp;"/ml",IF(comp_type="per amount",VLOOKUP(I27,tblUnits[],2,FALSE)&amp;"/"&amp;comp_vol&amp;" "&amp;comp_units,VLOOKUP(I27,tblUnits[],2,FALSE)&amp;"/kg"))</f>
        <v>mg/kg</v>
      </c>
      <c r="K27" s="150">
        <f t="shared" si="0"/>
        <v>10.72</v>
      </c>
      <c r="L27" s="124">
        <f t="shared" si="1"/>
        <v>6.5600000000000005</v>
      </c>
      <c r="M27" s="162">
        <f t="shared" si="2"/>
        <v>-0.38805970149253732</v>
      </c>
      <c r="N27" s="127">
        <f t="shared" si="3"/>
        <v>8.6563898116718079</v>
      </c>
      <c r="O27" s="165">
        <f t="shared" si="4"/>
        <v>-0.19250095040374932</v>
      </c>
      <c r="P27" s="130">
        <f t="shared" si="5"/>
        <v>8.6563898116718079</v>
      </c>
      <c r="Q27" s="168">
        <f t="shared" si="6"/>
        <v>-0.19250095040374932</v>
      </c>
      <c r="R27" s="133">
        <f t="shared" si="7"/>
        <v>9.0892093022553979</v>
      </c>
      <c r="S27" s="171">
        <f t="shared" si="8"/>
        <v>-0.1521259979239368</v>
      </c>
      <c r="T27" s="136">
        <f t="shared" si="9"/>
        <v>10.72</v>
      </c>
      <c r="U27" s="174">
        <f t="shared" si="10"/>
        <v>0</v>
      </c>
      <c r="AE27" t="e">
        <f t="shared" si="11"/>
        <v>#VALUE!</v>
      </c>
      <c r="AF27" t="e">
        <f t="shared" si="12"/>
        <v>#VALUE!</v>
      </c>
    </row>
    <row r="28" spans="2:32" ht="15" customHeight="1" x14ac:dyDescent="0.25">
      <c r="B28" s="30"/>
      <c r="C28" s="97"/>
      <c r="D28" s="97"/>
      <c r="E28" s="97"/>
      <c r="G28" s="1"/>
      <c r="H28" s="185"/>
      <c r="I28" s="119" t="s">
        <v>32</v>
      </c>
      <c r="J28" s="118" t="str">
        <f>IF(comp_type="formulas only",VLOOKUP(I28,tblUnits[],2,FALSE)&amp;"/ml",IF(comp_type="per amount",VLOOKUP(I28,tblUnits[],2,FALSE)&amp;"/"&amp;comp_vol&amp;" "&amp;comp_units,VLOOKUP(I28,tblUnits[],2,FALSE)&amp;"/kg"))</f>
        <v>mg/kg</v>
      </c>
      <c r="K28" s="150">
        <f t="shared" si="0"/>
        <v>2.1440000000000001</v>
      </c>
      <c r="L28" s="124">
        <f t="shared" si="1"/>
        <v>1.92</v>
      </c>
      <c r="M28" s="162">
        <f t="shared" si="2"/>
        <v>-0.1044776119402986</v>
      </c>
      <c r="N28" s="127">
        <f t="shared" si="3"/>
        <v>1.9476877076261567</v>
      </c>
      <c r="O28" s="165">
        <f t="shared" si="4"/>
        <v>-9.1563569204218001E-2</v>
      </c>
      <c r="P28" s="130">
        <f t="shared" si="5"/>
        <v>1.9476877076261567</v>
      </c>
      <c r="Q28" s="168">
        <f t="shared" si="6"/>
        <v>-9.1563569204218001E-2</v>
      </c>
      <c r="R28" s="133">
        <f t="shared" si="7"/>
        <v>1.9476877076261567</v>
      </c>
      <c r="S28" s="171">
        <f t="shared" si="8"/>
        <v>-9.1563569204218001E-2</v>
      </c>
      <c r="T28" s="136">
        <f t="shared" si="9"/>
        <v>2.1440000000000001</v>
      </c>
      <c r="U28" s="174">
        <f t="shared" si="10"/>
        <v>0</v>
      </c>
      <c r="AE28" t="e">
        <f t="shared" si="11"/>
        <v>#VALUE!</v>
      </c>
      <c r="AF28" t="e">
        <f t="shared" si="12"/>
        <v>#VALUE!</v>
      </c>
    </row>
    <row r="29" spans="2:32" ht="15" customHeight="1" x14ac:dyDescent="0.25">
      <c r="B29" s="30"/>
      <c r="C29" s="29"/>
      <c r="D29" s="19"/>
      <c r="E29" s="31"/>
      <c r="G29" s="1"/>
      <c r="H29" s="185"/>
      <c r="I29" s="119" t="s">
        <v>33</v>
      </c>
      <c r="J29" s="118" t="str">
        <f>IF(comp_type="formulas only",VLOOKUP(I29,tblUnits[],2,FALSE)&amp;"/ml",IF(comp_type="per amount",VLOOKUP(I29,tblUnits[],2,FALSE)&amp;"/"&amp;comp_vol&amp;" "&amp;comp_units,VLOOKUP(I29,tblUnits[],2,FALSE)&amp;"/kg"))</f>
        <v>mg/kg</v>
      </c>
      <c r="K29" s="150">
        <f t="shared" si="0"/>
        <v>1.4239999999999999</v>
      </c>
      <c r="L29" s="124">
        <f t="shared" si="1"/>
        <v>0.81119999999999992</v>
      </c>
      <c r="M29" s="162">
        <f t="shared" si="2"/>
        <v>-0.43033707865168541</v>
      </c>
      <c r="N29" s="127">
        <f t="shared" si="3"/>
        <v>1.082048726458976</v>
      </c>
      <c r="O29" s="165">
        <f t="shared" si="4"/>
        <v>-0.24013432130689885</v>
      </c>
      <c r="P29" s="130">
        <f t="shared" si="5"/>
        <v>1.082048726458976</v>
      </c>
      <c r="Q29" s="168">
        <f t="shared" si="6"/>
        <v>-0.24013432130689885</v>
      </c>
      <c r="R29" s="133">
        <f t="shared" si="7"/>
        <v>1.2443560354278222</v>
      </c>
      <c r="S29" s="171">
        <f t="shared" si="8"/>
        <v>-0.12615446950293377</v>
      </c>
      <c r="T29" s="136">
        <f t="shared" si="9"/>
        <v>1.4239999999999999</v>
      </c>
      <c r="U29" s="174">
        <f t="shared" si="10"/>
        <v>0</v>
      </c>
      <c r="AE29" t="e">
        <f t="shared" si="11"/>
        <v>#VALUE!</v>
      </c>
      <c r="AF29" t="e">
        <f t="shared" si="12"/>
        <v>#VALUE!</v>
      </c>
    </row>
    <row r="30" spans="2:32" ht="15" customHeight="1" x14ac:dyDescent="0.25">
      <c r="B30" s="30"/>
      <c r="C30" s="29"/>
      <c r="D30" s="19"/>
      <c r="E30" s="31"/>
      <c r="H30" s="185"/>
      <c r="I30" s="119" t="s">
        <v>34</v>
      </c>
      <c r="J30" s="118" t="str">
        <f>IF(comp_type="formulas only",VLOOKUP(I30,tblUnits[],2,FALSE)&amp;"/ml",IF(comp_type="per amount",VLOOKUP(I30,tblUnits[],2,FALSE)&amp;"/"&amp;comp_vol&amp;" "&amp;comp_units,VLOOKUP(I30,tblUnits[],2,FALSE)&amp;"/kg"))</f>
        <v>mcg/kg</v>
      </c>
      <c r="K30" s="150">
        <f t="shared" si="0"/>
        <v>11.84</v>
      </c>
      <c r="L30" s="124">
        <f t="shared" si="1"/>
        <v>5.44</v>
      </c>
      <c r="M30" s="162">
        <f t="shared" si="2"/>
        <v>-0.54054054054054046</v>
      </c>
      <c r="N30" s="127">
        <f t="shared" si="3"/>
        <v>27.051218161474399</v>
      </c>
      <c r="O30" s="165">
        <f t="shared" si="4"/>
        <v>1.2847312636380404</v>
      </c>
      <c r="P30" s="130">
        <f t="shared" si="5"/>
        <v>16.230730896884641</v>
      </c>
      <c r="Q30" s="168">
        <f t="shared" si="6"/>
        <v>0.37083875818282441</v>
      </c>
      <c r="R30" s="133">
        <f t="shared" si="7"/>
        <v>90.892093022553979</v>
      </c>
      <c r="S30" s="171">
        <f t="shared" si="8"/>
        <v>6.6766970458238157</v>
      </c>
      <c r="T30" s="136">
        <f t="shared" si="9"/>
        <v>11.84</v>
      </c>
      <c r="U30" s="174">
        <f t="shared" si="10"/>
        <v>0</v>
      </c>
      <c r="AE30" t="e">
        <f t="shared" si="11"/>
        <v>#VALUE!</v>
      </c>
      <c r="AF30" t="e">
        <f t="shared" si="12"/>
        <v>#VALUE!</v>
      </c>
    </row>
    <row r="31" spans="2:32" ht="15" customHeight="1" x14ac:dyDescent="0.25">
      <c r="B31" s="14"/>
      <c r="C31" s="19"/>
      <c r="D31" s="19"/>
      <c r="E31" s="16"/>
      <c r="F31" s="1"/>
      <c r="G31" s="1"/>
      <c r="H31" s="185"/>
      <c r="I31" s="119" t="s">
        <v>35</v>
      </c>
      <c r="J31" s="118" t="str">
        <f>IF(comp_type="formulas only",VLOOKUP(I31,tblUnits[],2,FALSE)&amp;"/ml",IF(comp_type="per amount",VLOOKUP(I31,tblUnits[],2,FALSE)&amp;"/"&amp;comp_vol&amp;" "&amp;comp_units,VLOOKUP(I31,tblUnits[],2,FALSE)&amp;"/kg"))</f>
        <v>mcg/kg</v>
      </c>
      <c r="K31" s="150">
        <f t="shared" si="0"/>
        <v>142.88</v>
      </c>
      <c r="L31" s="124">
        <f t="shared" si="1"/>
        <v>97.44</v>
      </c>
      <c r="M31" s="162">
        <f t="shared" si="2"/>
        <v>-0.31802911534154532</v>
      </c>
      <c r="N31" s="127">
        <f t="shared" si="3"/>
        <v>81.1536544844232</v>
      </c>
      <c r="O31" s="165">
        <f t="shared" si="4"/>
        <v>-0.43201529616165174</v>
      </c>
      <c r="P31" s="130">
        <f t="shared" si="5"/>
        <v>81.1536544844232</v>
      </c>
      <c r="Q31" s="168">
        <f t="shared" si="6"/>
        <v>-0.43201529616165174</v>
      </c>
      <c r="R31" s="133">
        <f t="shared" si="7"/>
        <v>136.33813953383097</v>
      </c>
      <c r="S31" s="171">
        <f t="shared" si="8"/>
        <v>-4.5785697551574939E-2</v>
      </c>
      <c r="T31" s="136">
        <f t="shared" si="9"/>
        <v>142.88</v>
      </c>
      <c r="U31" s="174">
        <f t="shared" si="10"/>
        <v>0</v>
      </c>
      <c r="AE31" t="e">
        <f t="shared" si="11"/>
        <v>#VALUE!</v>
      </c>
      <c r="AF31" t="e">
        <f t="shared" si="12"/>
        <v>#VALUE!</v>
      </c>
    </row>
    <row r="32" spans="2:32" ht="15" customHeight="1" x14ac:dyDescent="0.25">
      <c r="B32" s="30"/>
      <c r="C32" s="29"/>
      <c r="D32" s="19"/>
      <c r="E32" s="16"/>
      <c r="F32" s="1"/>
      <c r="G32" s="1"/>
      <c r="H32" s="185"/>
      <c r="I32" s="119" t="s">
        <v>36</v>
      </c>
      <c r="J32" s="118" t="str">
        <f>IF(comp_type="formulas only",VLOOKUP(I32,tblUnits[],2,FALSE)&amp;"/ml",IF(comp_type="per amount",VLOOKUP(I32,tblUnits[],2,FALSE)&amp;"/"&amp;comp_vol&amp;" "&amp;comp_units,VLOOKUP(I32,tblUnits[],2,FALSE)&amp;"/kg"))</f>
        <v>mcg/kg</v>
      </c>
      <c r="K32" s="150">
        <f t="shared" si="0"/>
        <v>17.920000000000002</v>
      </c>
      <c r="L32" s="124">
        <f t="shared" si="1"/>
        <v>6.5600000000000005</v>
      </c>
      <c r="M32" s="162">
        <f t="shared" si="2"/>
        <v>-0.6339285714285714</v>
      </c>
      <c r="N32" s="127">
        <f t="shared" si="3"/>
        <v>16.230730896884641</v>
      </c>
      <c r="O32" s="165">
        <f t="shared" si="4"/>
        <v>-9.4267249057776836E-2</v>
      </c>
      <c r="P32" s="130">
        <f t="shared" si="5"/>
        <v>16.230730896884641</v>
      </c>
      <c r="Q32" s="168">
        <f t="shared" si="6"/>
        <v>-9.4267249057776836E-2</v>
      </c>
      <c r="R32" s="133">
        <f t="shared" si="7"/>
        <v>9.6302336654848872</v>
      </c>
      <c r="S32" s="171">
        <f t="shared" si="8"/>
        <v>-0.46259856777428088</v>
      </c>
      <c r="T32" s="136">
        <f t="shared" si="9"/>
        <v>17.920000000000002</v>
      </c>
      <c r="U32" s="174">
        <f t="shared" si="10"/>
        <v>0</v>
      </c>
      <c r="AE32" t="e">
        <f t="shared" si="11"/>
        <v>#VALUE!</v>
      </c>
      <c r="AF32" t="e">
        <f t="shared" si="12"/>
        <v>#VALUE!</v>
      </c>
    </row>
    <row r="33" spans="2:32" ht="15" customHeight="1" x14ac:dyDescent="0.25">
      <c r="B33" s="14"/>
      <c r="C33" s="19"/>
      <c r="D33" s="19"/>
      <c r="E33" s="16"/>
      <c r="F33" s="1"/>
      <c r="G33" s="1"/>
      <c r="H33" s="185"/>
      <c r="I33" s="119" t="s">
        <v>37</v>
      </c>
      <c r="J33" s="118" t="str">
        <f>IF(comp_type="formulas only",VLOOKUP(I33,tblUnits[],2,FALSE)&amp;"/ml",IF(comp_type="per amount",VLOOKUP(I33,tblUnits[],2,FALSE)&amp;"/"&amp;comp_vol&amp;" "&amp;comp_units,VLOOKUP(I33,tblUnits[],2,FALSE)&amp;"/kg"))</f>
        <v>mcg/kg</v>
      </c>
      <c r="K33" s="150">
        <f t="shared" si="0"/>
        <v>2.7360000000000002</v>
      </c>
      <c r="L33" s="124">
        <f t="shared" si="1"/>
        <v>2.2400000000000002</v>
      </c>
      <c r="M33" s="162">
        <f t="shared" si="2"/>
        <v>-0.18128654970760233</v>
      </c>
      <c r="N33" s="127">
        <f t="shared" si="3"/>
        <v>3.0297364340851325</v>
      </c>
      <c r="O33" s="165">
        <f t="shared" si="4"/>
        <v>0.10735980777965361</v>
      </c>
      <c r="P33" s="130">
        <f t="shared" si="5"/>
        <v>3.0297364340851325</v>
      </c>
      <c r="Q33" s="168">
        <f t="shared" si="6"/>
        <v>0.10735980777965361</v>
      </c>
      <c r="R33" s="133">
        <f t="shared" si="7"/>
        <v>2.8133266887933379</v>
      </c>
      <c r="S33" s="171">
        <f t="shared" si="8"/>
        <v>2.8262678652535709E-2</v>
      </c>
      <c r="T33" s="136">
        <f t="shared" si="9"/>
        <v>2.7360000000000002</v>
      </c>
      <c r="U33" s="174">
        <f t="shared" si="10"/>
        <v>0</v>
      </c>
      <c r="AE33" t="e">
        <f t="shared" si="11"/>
        <v>#VALUE!</v>
      </c>
      <c r="AF33" t="e">
        <f t="shared" si="12"/>
        <v>#VALUE!</v>
      </c>
    </row>
    <row r="34" spans="2:32" ht="15" customHeight="1" x14ac:dyDescent="0.25">
      <c r="B34" s="14"/>
      <c r="C34" s="19"/>
      <c r="D34" s="19"/>
      <c r="E34" s="16"/>
      <c r="F34" s="1"/>
      <c r="G34" s="1"/>
      <c r="H34" s="185"/>
      <c r="I34" s="119" t="s">
        <v>38</v>
      </c>
      <c r="J34" s="118" t="str">
        <f>IF(comp_type="formulas only",VLOOKUP(I34,tblUnits[],2,FALSE)&amp;"/ml",IF(comp_type="per amount",VLOOKUP(I34,tblUnits[],2,FALSE)&amp;"/"&amp;comp_vol&amp;" "&amp;comp_units,VLOOKUP(I34,tblUnits[],2,FALSE)&amp;"/kg"))</f>
        <v>mg/kg</v>
      </c>
      <c r="K34" s="150">
        <f t="shared" si="0"/>
        <v>39.200000000000003</v>
      </c>
      <c r="L34" s="124">
        <f t="shared" si="1"/>
        <v>25.92</v>
      </c>
      <c r="M34" s="162">
        <f t="shared" si="2"/>
        <v>-0.33877551020408164</v>
      </c>
      <c r="N34" s="127">
        <f t="shared" si="3"/>
        <v>50.856290143571869</v>
      </c>
      <c r="O34" s="165">
        <f t="shared" si="4"/>
        <v>0.29735434039724146</v>
      </c>
      <c r="P34" s="130">
        <f t="shared" si="5"/>
        <v>38.953754152523132</v>
      </c>
      <c r="Q34" s="168">
        <f t="shared" si="6"/>
        <v>-6.2817818233895642E-3</v>
      </c>
      <c r="R34" s="133">
        <f t="shared" si="7"/>
        <v>48.692192690653911</v>
      </c>
      <c r="S34" s="171">
        <f t="shared" si="8"/>
        <v>0.24214777272076296</v>
      </c>
      <c r="T34" s="136">
        <f t="shared" si="9"/>
        <v>39.200000000000003</v>
      </c>
      <c r="U34" s="174">
        <f t="shared" si="10"/>
        <v>0</v>
      </c>
      <c r="AE34" t="e">
        <f t="shared" si="11"/>
        <v>#VALUE!</v>
      </c>
      <c r="AF34" t="e">
        <f t="shared" si="12"/>
        <v>#VALUE!</v>
      </c>
    </row>
    <row r="35" spans="2:32" ht="15" customHeight="1" x14ac:dyDescent="0.25">
      <c r="B35" s="20"/>
      <c r="C35" s="21"/>
      <c r="D35" s="21"/>
      <c r="E35" s="22"/>
      <c r="F35" s="1"/>
      <c r="G35" s="1"/>
      <c r="H35" s="185"/>
      <c r="I35" s="119" t="s">
        <v>39</v>
      </c>
      <c r="J35" s="118" t="str">
        <f>IF(comp_type="formulas only",VLOOKUP(I35,tblUnits[],2,FALSE)&amp;"/ml",IF(comp_type="per amount",VLOOKUP(I35,tblUnits[],2,FALSE)&amp;"/"&amp;comp_vol&amp;" "&amp;comp_units,VLOOKUP(I35,tblUnits[],2,FALSE)&amp;"/kg"))</f>
        <v>mg/kg</v>
      </c>
      <c r="K35" s="150">
        <f t="shared" si="0"/>
        <v>168.96</v>
      </c>
      <c r="L35" s="124">
        <f t="shared" si="1"/>
        <v>113.6</v>
      </c>
      <c r="M35" s="162">
        <f t="shared" si="2"/>
        <v>-0.32765151515151519</v>
      </c>
      <c r="N35" s="127">
        <f t="shared" si="3"/>
        <v>119.02535991048735</v>
      </c>
      <c r="O35" s="165">
        <f t="shared" si="4"/>
        <v>-0.29554119371160426</v>
      </c>
      <c r="P35" s="130">
        <f t="shared" si="5"/>
        <v>116.8612624575694</v>
      </c>
      <c r="Q35" s="168">
        <f t="shared" si="6"/>
        <v>-0.30834953564412054</v>
      </c>
      <c r="R35" s="133">
        <f t="shared" si="7"/>
        <v>162.3073089688464</v>
      </c>
      <c r="S35" s="171">
        <f t="shared" si="8"/>
        <v>-3.9374355061278454E-2</v>
      </c>
      <c r="T35" s="136">
        <f t="shared" si="9"/>
        <v>168.96</v>
      </c>
      <c r="U35" s="174">
        <f t="shared" si="10"/>
        <v>0</v>
      </c>
    </row>
    <row r="36" spans="2:32" ht="15" customHeight="1" x14ac:dyDescent="0.25">
      <c r="H36" s="186"/>
      <c r="I36" s="119" t="s">
        <v>40</v>
      </c>
      <c r="J36" s="118" t="str">
        <f>IF(comp_type="formulas only",VLOOKUP(I36,tblUnits[],2,FALSE)&amp;"/ml",IF(comp_type="per amount",VLOOKUP(I36,tblUnits[],2,FALSE)&amp;"/"&amp;comp_vol&amp;" "&amp;comp_units,VLOOKUP(I36,tblUnits[],2,FALSE)&amp;"/kg"))</f>
        <v>mg/kg</v>
      </c>
      <c r="K36" s="150">
        <f t="shared" si="0"/>
        <v>89.28</v>
      </c>
      <c r="L36" s="124">
        <f t="shared" si="1"/>
        <v>70.400000000000006</v>
      </c>
      <c r="M36" s="162">
        <f t="shared" si="2"/>
        <v>-0.21146953405017915</v>
      </c>
      <c r="N36" s="127">
        <f t="shared" si="3"/>
        <v>93.056190475471936</v>
      </c>
      <c r="O36" s="165">
        <f t="shared" si="4"/>
        <v>4.2296040271863074E-2</v>
      </c>
      <c r="P36" s="130">
        <f t="shared" si="5"/>
        <v>68.169069766915484</v>
      </c>
      <c r="Q36" s="168">
        <f t="shared" si="6"/>
        <v>-0.2364575518938678</v>
      </c>
      <c r="R36" s="133">
        <f t="shared" si="7"/>
        <v>64.922923587538563</v>
      </c>
      <c r="S36" s="171">
        <f t="shared" si="8"/>
        <v>-0.27281671608939784</v>
      </c>
      <c r="T36" s="136">
        <f t="shared" si="9"/>
        <v>89.28</v>
      </c>
      <c r="U36" s="174">
        <f t="shared" si="10"/>
        <v>0</v>
      </c>
      <c r="AE36" t="e">
        <f>GetNormed(formula2,I35)</f>
        <v>#VALUE!</v>
      </c>
      <c r="AF36" t="e">
        <f>(AE36-K35)/K35</f>
        <v>#VALUE!</v>
      </c>
    </row>
    <row r="37" spans="2:32" ht="15" customHeight="1" x14ac:dyDescent="0.25">
      <c r="I37" s="160" t="s">
        <v>185</v>
      </c>
      <c r="J37" s="153" t="str">
        <f>IF(comp_type="formulas only",VLOOKUP(I37,tblUnits[],2,FALSE)&amp;"/ml",IF(comp_type="per amount",VLOOKUP(I37,tblUnits[],2,FALSE)&amp;"/"&amp;comp_vol&amp;" "&amp;comp_units,VLOOKUP(I37,tblUnits[],2,FALSE)&amp;"/kg"))</f>
        <v>mcg/kg</v>
      </c>
      <c r="K37" s="154">
        <f t="shared" si="0"/>
        <v>0</v>
      </c>
      <c r="L37" s="155">
        <f t="shared" si="1"/>
        <v>0</v>
      </c>
      <c r="M37" s="163" t="str">
        <f t="shared" si="2"/>
        <v/>
      </c>
      <c r="N37" s="156">
        <f t="shared" si="3"/>
        <v>0</v>
      </c>
      <c r="O37" s="166" t="str">
        <f t="shared" si="4"/>
        <v/>
      </c>
      <c r="P37" s="157">
        <f t="shared" si="5"/>
        <v>0</v>
      </c>
      <c r="Q37" s="169" t="str">
        <f t="shared" si="6"/>
        <v/>
      </c>
      <c r="R37" s="158">
        <f t="shared" si="7"/>
        <v>2.70512181614744</v>
      </c>
      <c r="S37" s="172" t="str">
        <f t="shared" si="8"/>
        <v/>
      </c>
      <c r="T37" s="159">
        <f t="shared" si="9"/>
        <v>0</v>
      </c>
      <c r="U37" s="175" t="str">
        <f t="shared" si="10"/>
        <v/>
      </c>
    </row>
    <row r="38" spans="2:32" ht="15" customHeight="1" x14ac:dyDescent="0.25">
      <c r="I38" s="120" t="s">
        <v>186</v>
      </c>
      <c r="J38" s="118" t="str">
        <f>IF(comp_type="formulas only",VLOOKUP(I38,tblUnits[],2,FALSE)&amp;"/ml",IF(comp_type="per amount",VLOOKUP(I38,tblUnits[],2,FALSE)&amp;"/"&amp;comp_vol&amp;" "&amp;comp_units,VLOOKUP(I38,tblUnits[],2,FALSE)&amp;"/kg"))</f>
        <v>mcg/kg</v>
      </c>
      <c r="K38" s="150">
        <f t="shared" si="0"/>
        <v>0</v>
      </c>
      <c r="L38" s="124">
        <f t="shared" si="1"/>
        <v>0</v>
      </c>
      <c r="M38" s="162" t="str">
        <f t="shared" si="2"/>
        <v/>
      </c>
      <c r="N38" s="127">
        <f t="shared" si="3"/>
        <v>0</v>
      </c>
      <c r="O38" s="165" t="str">
        <f t="shared" si="4"/>
        <v/>
      </c>
      <c r="P38" s="130">
        <f t="shared" si="5"/>
        <v>0</v>
      </c>
      <c r="Q38" s="168" t="str">
        <f t="shared" si="6"/>
        <v/>
      </c>
      <c r="R38" s="133">
        <f t="shared" si="7"/>
        <v>2.4887120708556445</v>
      </c>
      <c r="S38" s="171" t="str">
        <f t="shared" si="8"/>
        <v/>
      </c>
      <c r="T38" s="136">
        <f t="shared" si="9"/>
        <v>0</v>
      </c>
      <c r="U38" s="174" t="str">
        <f t="shared" si="10"/>
        <v/>
      </c>
      <c r="AE38" t="e">
        <f>GetNormed(formula2,I36)</f>
        <v>#VALUE!</v>
      </c>
      <c r="AF38" t="e">
        <f>(AE38-K36)/K36</f>
        <v>#VALUE!</v>
      </c>
    </row>
    <row r="39" spans="2:32" ht="15" customHeight="1" x14ac:dyDescent="0.25">
      <c r="I39" s="120" t="s">
        <v>252</v>
      </c>
      <c r="J39" s="118" t="str">
        <f>IF(comp_type="formulas only",VLOOKUP(I39,tblUnits[],2,FALSE)&amp;"/ml",IF(comp_type="per amount",VLOOKUP(I39,tblUnits[],2,FALSE)&amp;"/"&amp;comp_vol&amp;" "&amp;comp_units,VLOOKUP(I39,tblUnits[],2,FALSE)&amp;"/kg"))</f>
        <v>mg/kg</v>
      </c>
      <c r="K39" s="150">
        <f t="shared" si="0"/>
        <v>0</v>
      </c>
      <c r="L39" s="124">
        <f t="shared" si="1"/>
        <v>0</v>
      </c>
      <c r="M39" s="162" t="str">
        <f t="shared" si="2"/>
        <v/>
      </c>
      <c r="N39" s="127">
        <f t="shared" si="3"/>
        <v>0</v>
      </c>
      <c r="O39" s="165" t="str">
        <f t="shared" si="4"/>
        <v/>
      </c>
      <c r="P39" s="130">
        <f t="shared" si="5"/>
        <v>0</v>
      </c>
      <c r="Q39" s="168" t="str">
        <f t="shared" si="6"/>
        <v/>
      </c>
      <c r="R39" s="133">
        <f t="shared" si="7"/>
        <v>0</v>
      </c>
      <c r="S39" s="171" t="str">
        <f t="shared" si="8"/>
        <v/>
      </c>
      <c r="T39" s="136">
        <f t="shared" si="9"/>
        <v>0</v>
      </c>
      <c r="U39" s="174" t="str">
        <f t="shared" si="10"/>
        <v/>
      </c>
    </row>
    <row r="40" spans="2:32" ht="15" customHeight="1" x14ac:dyDescent="0.25">
      <c r="I40" s="120" t="s">
        <v>253</v>
      </c>
      <c r="J40" s="118" t="str">
        <f>IF(comp_type="formulas only",VLOOKUP(I40,tblUnits[],2,FALSE)&amp;"/ml",IF(comp_type="per amount",VLOOKUP(I40,tblUnits[],2,FALSE)&amp;"/"&amp;comp_vol&amp;" "&amp;comp_units,VLOOKUP(I40,tblUnits[],2,FALSE)&amp;"/kg"))</f>
        <v>mg/kg</v>
      </c>
      <c r="K40" s="150">
        <f t="shared" si="0"/>
        <v>0</v>
      </c>
      <c r="L40" s="124">
        <f t="shared" si="1"/>
        <v>0</v>
      </c>
      <c r="M40" s="162" t="str">
        <f t="shared" si="2"/>
        <v/>
      </c>
      <c r="N40" s="127">
        <f t="shared" si="3"/>
        <v>0</v>
      </c>
      <c r="O40" s="165" t="str">
        <f t="shared" si="4"/>
        <v/>
      </c>
      <c r="P40" s="130">
        <f t="shared" si="5"/>
        <v>0</v>
      </c>
      <c r="Q40" s="168" t="str">
        <f t="shared" si="6"/>
        <v/>
      </c>
      <c r="R40" s="133">
        <f t="shared" si="7"/>
        <v>0</v>
      </c>
      <c r="S40" s="171" t="str">
        <f t="shared" si="8"/>
        <v/>
      </c>
      <c r="T40" s="136">
        <f t="shared" si="9"/>
        <v>0</v>
      </c>
      <c r="U40" s="174" t="str">
        <f t="shared" si="10"/>
        <v/>
      </c>
    </row>
    <row r="41" spans="2:32" ht="15" customHeight="1" x14ac:dyDescent="0.25">
      <c r="I41" s="119"/>
      <c r="J41" s="118"/>
      <c r="K41" s="149"/>
      <c r="L41" s="123"/>
      <c r="M41" s="162" t="str">
        <f t="shared" si="2"/>
        <v/>
      </c>
      <c r="N41" s="126"/>
      <c r="O41" s="165" t="str">
        <f t="shared" si="4"/>
        <v/>
      </c>
      <c r="P41" s="129"/>
      <c r="Q41" s="168" t="str">
        <f t="shared" si="6"/>
        <v/>
      </c>
      <c r="R41" s="132"/>
      <c r="S41" s="171" t="str">
        <f t="shared" si="8"/>
        <v/>
      </c>
      <c r="T41" s="135"/>
      <c r="U41" s="174" t="str">
        <f t="shared" si="10"/>
        <v/>
      </c>
    </row>
    <row r="42" spans="2:32" ht="15" customHeight="1" x14ac:dyDescent="0.25">
      <c r="H42" s="187" t="s">
        <v>158</v>
      </c>
      <c r="I42" s="120" t="s">
        <v>38</v>
      </c>
      <c r="J42" s="118" t="str">
        <f>IF(comp_type="formulas only","mEq/ml",IF(comp_type="per amount","mEq/"&amp;comp_vol&amp;" "&amp;comp_units,"mEq/kg"))</f>
        <v>mEq/kg</v>
      </c>
      <c r="K42" s="150">
        <f>(K34*VLOOKUP($I34,tblChemistry[],4,FALSE))/VLOOKUP($I34,tblChemistry[],3,FALSE)</f>
        <v>1.7043478260869567</v>
      </c>
      <c r="L42" s="124">
        <f>(L34*VLOOKUP($I34,tblChemistry[],4,FALSE))/VLOOKUP($I34,tblChemistry[],3,FALSE)</f>
        <v>1.1269565217391304</v>
      </c>
      <c r="M42" s="162">
        <f>IFERROR((L42-$K42)/$K42,"")</f>
        <v>-0.3387755102040817</v>
      </c>
      <c r="N42" s="127">
        <f>(N34*VLOOKUP($I34,tblChemistry[],4,FALSE))/VLOOKUP($I34,tblChemistry[],3,FALSE)</f>
        <v>2.211143049720516</v>
      </c>
      <c r="O42" s="165">
        <f>IFERROR((N42-$K42)/$K42,"")</f>
        <v>0.2973543403972414</v>
      </c>
      <c r="P42" s="130">
        <f>(P34*VLOOKUP($I34,tblChemistry[],4,FALSE))/VLOOKUP($I34,tblChemistry[],3,FALSE)</f>
        <v>1.69364148489231</v>
      </c>
      <c r="Q42" s="168">
        <f>IFERROR((P42-$K42)/$K42,"")</f>
        <v>-6.2817818233896101E-3</v>
      </c>
      <c r="R42" s="133">
        <f>(R34*VLOOKUP($I34,tblChemistry[],4,FALSE))/VLOOKUP($I34,tblChemistry[],3,FALSE)</f>
        <v>2.1170518561153875</v>
      </c>
      <c r="S42" s="171">
        <f>IFERROR((R42-$K42)/$K42,"")</f>
        <v>0.24214777272076296</v>
      </c>
      <c r="T42" s="136">
        <f>(T34*VLOOKUP($I34,tblChemistry[],4,FALSE))/VLOOKUP($I34,tblChemistry[],3,FALSE)</f>
        <v>1.7043478260869567</v>
      </c>
      <c r="U42" s="174">
        <f>IFERROR((T42-$K42)/$K42,"")</f>
        <v>0</v>
      </c>
    </row>
    <row r="43" spans="2:32" ht="15" customHeight="1" x14ac:dyDescent="0.25">
      <c r="H43" s="188"/>
      <c r="I43" s="120" t="s">
        <v>39</v>
      </c>
      <c r="J43" s="118" t="str">
        <f>IF(comp_type="formulas only","mEq/ml",IF(comp_type="per amount","mEq/"&amp;comp_vol&amp;" "&amp;comp_units,"mEq/kg"))</f>
        <v>mEq/kg</v>
      </c>
      <c r="K43" s="150">
        <f>(K35*VLOOKUP($I35,tblChemistry[],4,FALSE))/VLOOKUP($I35,tblChemistry[],3,FALSE)</f>
        <v>4.3323076923076922</v>
      </c>
      <c r="L43" s="124">
        <f>(L35*VLOOKUP($I35,tblChemistry[],4,FALSE))/VLOOKUP($I35,tblChemistry[],3,FALSE)</f>
        <v>2.9128205128205127</v>
      </c>
      <c r="M43" s="162">
        <f t="shared" ref="M43:M44" si="13">IFERROR((L43-$K43)/$K43,"")</f>
        <v>-0.32765151515151514</v>
      </c>
      <c r="N43" s="127">
        <f>(N35*VLOOKUP($I35,tblChemistry[],4,FALSE))/VLOOKUP($I35,tblChemistry[],3,FALSE)</f>
        <v>3.0519323053971115</v>
      </c>
      <c r="O43" s="165">
        <f t="shared" ref="O43:O44" si="14">IFERROR((N43-$K43)/$K43,"")</f>
        <v>-0.2955411937116042</v>
      </c>
      <c r="P43" s="130">
        <f>(P35*VLOOKUP($I35,tblChemistry[],4,FALSE))/VLOOKUP($I35,tblChemistry[],3,FALSE)</f>
        <v>2.996442627117164</v>
      </c>
      <c r="Q43" s="168">
        <f t="shared" ref="Q43:Q44" si="15">IFERROR((P43-$K43)/$K43,"")</f>
        <v>-0.30834953564412049</v>
      </c>
      <c r="R43" s="133">
        <f>(R35*VLOOKUP($I35,tblChemistry[],4,FALSE))/VLOOKUP($I35,tblChemistry[],3,FALSE)</f>
        <v>4.1617258709960616</v>
      </c>
      <c r="S43" s="171">
        <f t="shared" ref="S43:S44" si="16">IFERROR((R43-$K43)/$K43,"")</f>
        <v>-3.9374355061278364E-2</v>
      </c>
      <c r="T43" s="136">
        <f>(T35*VLOOKUP($I35,tblChemistry[],4,FALSE))/VLOOKUP($I35,tblChemistry[],3,FALSE)</f>
        <v>4.3323076923076922</v>
      </c>
      <c r="U43" s="174">
        <f t="shared" ref="U43:U44" si="17">IFERROR((T43-$K43)/$K43,"")</f>
        <v>0</v>
      </c>
    </row>
    <row r="44" spans="2:32" x14ac:dyDescent="0.25">
      <c r="H44" s="189"/>
      <c r="I44" s="120" t="s">
        <v>40</v>
      </c>
      <c r="J44" s="118" t="str">
        <f>IF(comp_type="formulas only","mEq/ml",IF(comp_type="per amount","mEq/"&amp;comp_vol&amp;" "&amp;comp_units,"mEq/kg"))</f>
        <v>mEq/kg</v>
      </c>
      <c r="K44" s="150">
        <f>(K36*VLOOKUP($I36,tblChemistry[],4,FALSE))/VLOOKUP($I36,tblChemistry[],3,FALSE)</f>
        <v>2.5149295774647888</v>
      </c>
      <c r="L44" s="124">
        <f>(L36*VLOOKUP($I36,tblChemistry[],4,FALSE))/VLOOKUP($I36,tblChemistry[],3,FALSE)</f>
        <v>1.983098591549296</v>
      </c>
      <c r="M44" s="162">
        <f t="shared" si="13"/>
        <v>-0.21146953405017915</v>
      </c>
      <c r="N44" s="127">
        <f>(N36*VLOOKUP($I36,tblChemistry[],4,FALSE))/VLOOKUP($I36,tblChemistry[],3,FALSE)</f>
        <v>2.6213011401541388</v>
      </c>
      <c r="O44" s="165">
        <f t="shared" si="14"/>
        <v>4.2296040271862956E-2</v>
      </c>
      <c r="P44" s="130">
        <f>(P36*VLOOKUP($I36,tblChemistry[],4,FALSE))/VLOOKUP($I36,tblChemistry[],3,FALSE)</f>
        <v>1.9202554863919854</v>
      </c>
      <c r="Q44" s="168">
        <f t="shared" si="15"/>
        <v>-0.23645755189386786</v>
      </c>
      <c r="R44" s="133">
        <f>(R36*VLOOKUP($I36,tblChemistry[],4,FALSE))/VLOOKUP($I36,tblChemistry[],3,FALSE)</f>
        <v>1.8288147489447482</v>
      </c>
      <c r="S44" s="171">
        <f t="shared" si="16"/>
        <v>-0.27281671608939789</v>
      </c>
      <c r="T44" s="136">
        <f>(T36*VLOOKUP($I36,tblChemistry[],4,FALSE))/VLOOKUP($I36,tblChemistry[],3,FALSE)</f>
        <v>2.5149295774647888</v>
      </c>
      <c r="U44" s="174">
        <f t="shared" si="17"/>
        <v>0</v>
      </c>
    </row>
    <row r="45" spans="2:32" x14ac:dyDescent="0.25">
      <c r="I45" s="120"/>
      <c r="J45" s="118"/>
      <c r="K45" s="150"/>
      <c r="L45" s="124"/>
      <c r="M45" s="162" t="str">
        <f t="shared" si="2"/>
        <v/>
      </c>
      <c r="N45" s="127"/>
      <c r="O45" s="165" t="str">
        <f t="shared" si="4"/>
        <v/>
      </c>
      <c r="P45" s="130"/>
      <c r="Q45" s="168" t="str">
        <f t="shared" si="6"/>
        <v/>
      </c>
      <c r="R45" s="133"/>
      <c r="S45" s="171" t="str">
        <f t="shared" si="8"/>
        <v/>
      </c>
      <c r="T45" s="136"/>
      <c r="U45" s="174" t="str">
        <f t="shared" si="10"/>
        <v/>
      </c>
      <c r="AE45" t="e">
        <f>CONVERT(1,"oz","ml")*AE4</f>
        <v>#VALUE!</v>
      </c>
      <c r="AF45" t="e">
        <f>(AE45-K45)/K45</f>
        <v>#VALUE!</v>
      </c>
    </row>
    <row r="46" spans="2:32" x14ac:dyDescent="0.25">
      <c r="I46" s="121" t="s">
        <v>225</v>
      </c>
      <c r="J46" s="122" t="s">
        <v>226</v>
      </c>
      <c r="K46" s="151">
        <f>K25/K26</f>
        <v>1.6941431670281994</v>
      </c>
      <c r="L46" s="125">
        <f>L25/L26</f>
        <v>1.859154929577465</v>
      </c>
      <c r="M46" s="164">
        <f t="shared" si="2"/>
        <v>9.7401309264035105E-2</v>
      </c>
      <c r="N46" s="128">
        <f>N25/N26</f>
        <v>1.8076923076923077</v>
      </c>
      <c r="O46" s="167">
        <f t="shared" si="4"/>
        <v>6.7024524771003735E-2</v>
      </c>
      <c r="P46" s="131">
        <f>P25/P26</f>
        <v>1.7826086956521738</v>
      </c>
      <c r="Q46" s="170">
        <f t="shared" si="6"/>
        <v>5.221844903412573E-2</v>
      </c>
      <c r="R46" s="134">
        <f>R25/R26</f>
        <v>1.377672209026128</v>
      </c>
      <c r="S46" s="173">
        <f t="shared" si="8"/>
        <v>-0.18680295984501274</v>
      </c>
      <c r="T46" s="137">
        <f>T25/T26</f>
        <v>1.6941431670281994</v>
      </c>
      <c r="U46" s="176">
        <f t="shared" si="10"/>
        <v>0</v>
      </c>
      <c r="AE46" t="e">
        <f>AE25/AE26</f>
        <v>#VALUE!</v>
      </c>
      <c r="AF46" t="e">
        <f>(AE46-K46)/K46</f>
        <v>#VALUE!</v>
      </c>
    </row>
  </sheetData>
  <mergeCells count="8">
    <mergeCell ref="R3:S3"/>
    <mergeCell ref="T3:U3"/>
    <mergeCell ref="H10:H24"/>
    <mergeCell ref="H25:H36"/>
    <mergeCell ref="H42:H44"/>
    <mergeCell ref="L3:M3"/>
    <mergeCell ref="N3:O3"/>
    <mergeCell ref="P3:Q3"/>
  </mergeCells>
  <dataValidations count="3">
    <dataValidation type="list" allowBlank="1" showInputMessage="1" showErrorMessage="1" sqref="D4 D14:D18">
      <formula1>INDIRECT("tblFormula[Formula]")</formula1>
    </dataValidation>
    <dataValidation type="list" allowBlank="1" showInputMessage="1" showErrorMessage="1" sqref="D5">
      <formula1>"formulas only,per amount,per kg"</formula1>
    </dataValidation>
    <dataValidation type="list" allowBlank="1" showInputMessage="1" showErrorMessage="1" sqref="D8">
      <formula1>"oz,ml,dl,l"</formula1>
    </dataValidation>
  </dataValidations>
  <pageMargins left="0.7" right="0.7" top="0.75" bottom="0.75" header="0.3" footer="0.3"/>
  <pageSetup orientation="portrait" horizontalDpi="0" verticalDpi="0" r:id="rId1"/>
  <ignoredErrors>
    <ignoredError sqref="M42:M44 O42:O44 Q42:Q44 S42:S44 S46 T42:T44 R42:R44 P42:P44 N42:N44 O46 Q46 M4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44"/>
  <sheetViews>
    <sheetView topLeftCell="A13" workbookViewId="0">
      <selection activeCell="A23" sqref="A23:G44"/>
    </sheetView>
  </sheetViews>
  <sheetFormatPr defaultRowHeight="15" x14ac:dyDescent="0.25"/>
  <cols>
    <col min="1" max="3" width="19.7109375" customWidth="1"/>
    <col min="4" max="4" width="19.140625" customWidth="1"/>
    <col min="5" max="5" width="19.7109375" customWidth="1"/>
    <col min="6" max="6" width="13" customWidth="1"/>
    <col min="7" max="7" width="13.85546875" customWidth="1"/>
    <col min="8" max="8" width="13" customWidth="1"/>
    <col min="9" max="9" width="13.28515625" customWidth="1"/>
    <col min="10" max="10" width="11.42578125" customWidth="1"/>
    <col min="12" max="12" width="11.7109375" customWidth="1"/>
  </cols>
  <sheetData>
    <row r="3" spans="1:7" x14ac:dyDescent="0.25">
      <c r="E3" s="42" t="s">
        <v>228</v>
      </c>
    </row>
    <row r="4" spans="1:7" x14ac:dyDescent="0.25">
      <c r="A4" s="28"/>
      <c r="B4" s="32" t="s">
        <v>76</v>
      </c>
      <c r="C4" s="28"/>
      <c r="E4" s="28"/>
      <c r="F4" s="32" t="s">
        <v>77</v>
      </c>
      <c r="G4" s="28"/>
    </row>
    <row r="5" spans="1:7" x14ac:dyDescent="0.25">
      <c r="A5" t="s">
        <v>0</v>
      </c>
      <c r="B5" s="33"/>
      <c r="C5" s="3" t="s">
        <v>1</v>
      </c>
      <c r="E5" t="s">
        <v>79</v>
      </c>
      <c r="G5" s="4">
        <f>ROUNDUP((dailyintake*mo)/((IF(canunit="g",canvol,CONVERT(canvol,canunit,"g"))/scoopvol)*CONVERT(mixratio,"ml","oz")),0)</f>
        <v>8</v>
      </c>
    </row>
    <row r="6" spans="1:7" x14ac:dyDescent="0.25">
      <c r="A6" t="s">
        <v>80</v>
      </c>
      <c r="B6" s="33" t="s">
        <v>47</v>
      </c>
      <c r="C6" s="3">
        <v>32</v>
      </c>
    </row>
    <row r="7" spans="1:7" x14ac:dyDescent="0.25">
      <c r="A7" t="s">
        <v>81</v>
      </c>
      <c r="B7" s="33" t="s">
        <v>82</v>
      </c>
      <c r="C7" s="3" t="s">
        <v>83</v>
      </c>
    </row>
    <row r="10" spans="1:7" x14ac:dyDescent="0.25">
      <c r="A10" s="28"/>
      <c r="B10" s="32" t="s">
        <v>72</v>
      </c>
      <c r="C10" s="28"/>
    </row>
    <row r="11" spans="1:7" x14ac:dyDescent="0.25">
      <c r="A11" t="s">
        <v>84</v>
      </c>
      <c r="B11" s="1"/>
      <c r="C11" s="34">
        <v>30.4375</v>
      </c>
    </row>
    <row r="12" spans="1:7" x14ac:dyDescent="0.25">
      <c r="A12" t="s">
        <v>85</v>
      </c>
      <c r="B12" s="33" t="s">
        <v>86</v>
      </c>
      <c r="C12" s="34">
        <f>IF(fortification="unfortified",60,IF(fortification=22,VLOOKUP(formula,tblFormulaMixing[],6,FALSE),IF(fortification=24,VLOOKUP(formula,tblFormulaMixing[],7,FALSE),"ERROR")))</f>
        <v>60</v>
      </c>
    </row>
    <row r="13" spans="1:7" x14ac:dyDescent="0.25">
      <c r="A13" t="s">
        <v>87</v>
      </c>
      <c r="B13" s="1"/>
      <c r="C13" s="34">
        <v>629</v>
      </c>
    </row>
    <row r="14" spans="1:7" x14ac:dyDescent="0.25">
      <c r="A14" t="s">
        <v>88</v>
      </c>
      <c r="B14" s="1"/>
      <c r="C14" s="34" t="s">
        <v>4</v>
      </c>
    </row>
    <row r="15" spans="1:7" x14ac:dyDescent="0.25">
      <c r="A15" s="35" t="s">
        <v>89</v>
      </c>
      <c r="B15" s="33" t="s">
        <v>90</v>
      </c>
      <c r="C15" s="4">
        <f>VLOOKUP(formula,tblFormulaMixing[],2,)</f>
        <v>9.6</v>
      </c>
    </row>
    <row r="20" spans="1:13" x14ac:dyDescent="0.25">
      <c r="A20" s="28"/>
      <c r="B20" s="32" t="s">
        <v>91</v>
      </c>
      <c r="C20" s="28"/>
      <c r="H20" s="33"/>
    </row>
    <row r="21" spans="1:13" x14ac:dyDescent="0.25">
      <c r="D21" s="33" t="s">
        <v>229</v>
      </c>
      <c r="E21" s="33" t="s">
        <v>229</v>
      </c>
    </row>
    <row r="22" spans="1:13" x14ac:dyDescent="0.25">
      <c r="A22" s="89" t="s">
        <v>182</v>
      </c>
      <c r="B22" s="88" t="s">
        <v>4</v>
      </c>
      <c r="C22" s="87" t="s">
        <v>92</v>
      </c>
      <c r="D22" s="87" t="s">
        <v>93</v>
      </c>
      <c r="E22" s="87" t="s">
        <v>94</v>
      </c>
      <c r="F22" s="87"/>
      <c r="G22" s="87"/>
    </row>
    <row r="23" spans="1:13" x14ac:dyDescent="0.25">
      <c r="A23" t="s">
        <v>0</v>
      </c>
      <c r="B23" s="1" t="s">
        <v>95</v>
      </c>
      <c r="C23" s="1" t="s">
        <v>96</v>
      </c>
      <c r="D23" s="1" t="s">
        <v>3</v>
      </c>
      <c r="E23" s="1" t="s">
        <v>8</v>
      </c>
      <c r="F23" s="1" t="s">
        <v>97</v>
      </c>
      <c r="G23" s="1" t="s">
        <v>98</v>
      </c>
      <c r="H23" s="36"/>
      <c r="I23" s="33"/>
      <c r="J23" s="33"/>
      <c r="K23" s="33"/>
      <c r="L23" s="33"/>
      <c r="M23" s="33"/>
    </row>
    <row r="24" spans="1:13" x14ac:dyDescent="0.25">
      <c r="A24" t="s">
        <v>99</v>
      </c>
      <c r="B24" s="1">
        <v>8.6999999999999993</v>
      </c>
      <c r="C24" s="1">
        <v>20</v>
      </c>
      <c r="D24" s="1">
        <v>5.0999999999999996</v>
      </c>
      <c r="E24" s="1">
        <v>0.14000000000000001</v>
      </c>
      <c r="F24" s="1">
        <v>54</v>
      </c>
      <c r="G24" s="1">
        <v>48</v>
      </c>
      <c r="H24" s="1"/>
      <c r="I24" s="1"/>
      <c r="J24" s="1"/>
      <c r="K24" s="1"/>
      <c r="L24" s="1"/>
      <c r="M24" s="1"/>
    </row>
    <row r="25" spans="1:13" x14ac:dyDescent="0.25">
      <c r="A25" t="s">
        <v>100</v>
      </c>
      <c r="B25" s="1">
        <v>9.4</v>
      </c>
      <c r="C25" s="1">
        <v>20</v>
      </c>
      <c r="D25" s="1">
        <v>4.8</v>
      </c>
      <c r="E25" s="1">
        <v>0.15</v>
      </c>
      <c r="F25" s="1">
        <v>54</v>
      </c>
      <c r="G25" s="1">
        <v>48</v>
      </c>
      <c r="H25" s="1"/>
      <c r="J25" s="1"/>
      <c r="K25" s="1"/>
    </row>
    <row r="26" spans="1:13" x14ac:dyDescent="0.25">
      <c r="A26" t="s">
        <v>101</v>
      </c>
      <c r="B26" s="1">
        <v>9.8000000000000007</v>
      </c>
      <c r="C26" s="1">
        <v>22</v>
      </c>
      <c r="D26" s="1">
        <v>4.9000000000000004</v>
      </c>
      <c r="E26" s="1">
        <v>0.14000000000000001</v>
      </c>
      <c r="F26" s="1"/>
      <c r="G26" s="1"/>
    </row>
    <row r="27" spans="1:13" x14ac:dyDescent="0.25">
      <c r="A27" t="s">
        <v>102</v>
      </c>
      <c r="B27" s="1">
        <v>8.8000000000000007</v>
      </c>
      <c r="C27" s="1">
        <v>20</v>
      </c>
      <c r="D27" s="1">
        <v>5</v>
      </c>
      <c r="E27" s="1">
        <v>0.11</v>
      </c>
      <c r="F27" s="1">
        <v>52</v>
      </c>
      <c r="G27" s="1">
        <v>47</v>
      </c>
    </row>
    <row r="28" spans="1:13" x14ac:dyDescent="0.25">
      <c r="A28" t="s">
        <v>103</v>
      </c>
      <c r="B28" s="1">
        <v>8.8000000000000007</v>
      </c>
      <c r="C28" s="1">
        <v>20</v>
      </c>
      <c r="D28" s="1">
        <v>5</v>
      </c>
      <c r="E28" s="1">
        <v>0.12</v>
      </c>
      <c r="F28" s="1">
        <v>52</v>
      </c>
      <c r="G28" s="1">
        <v>49</v>
      </c>
    </row>
    <row r="29" spans="1:13" x14ac:dyDescent="0.25">
      <c r="A29" t="s">
        <v>104</v>
      </c>
      <c r="B29" s="1">
        <v>8.6999999999999993</v>
      </c>
      <c r="C29" s="1">
        <v>20</v>
      </c>
      <c r="D29" s="1">
        <v>5.0999999999999996</v>
      </c>
      <c r="E29" s="1">
        <v>0.12</v>
      </c>
      <c r="F29" s="1"/>
      <c r="G29" s="1"/>
    </row>
    <row r="30" spans="1:13" x14ac:dyDescent="0.25">
      <c r="A30" t="s">
        <v>105</v>
      </c>
      <c r="B30" s="1">
        <v>8.6999999999999993</v>
      </c>
      <c r="C30" s="1">
        <v>20</v>
      </c>
      <c r="D30" s="1">
        <v>5.0999999999999996</v>
      </c>
      <c r="E30" s="1">
        <v>0.13</v>
      </c>
      <c r="F30" s="1">
        <v>54</v>
      </c>
      <c r="G30" s="1">
        <v>48</v>
      </c>
    </row>
    <row r="31" spans="1:13" x14ac:dyDescent="0.25">
      <c r="A31" t="s">
        <v>78</v>
      </c>
      <c r="B31" s="1">
        <v>9.6</v>
      </c>
      <c r="C31" s="1">
        <v>22</v>
      </c>
      <c r="D31" s="1">
        <v>5.0999999999999996</v>
      </c>
      <c r="E31" s="1">
        <v>0.14000000000000001</v>
      </c>
      <c r="F31" s="1">
        <v>60</v>
      </c>
      <c r="G31" s="1">
        <v>54</v>
      </c>
    </row>
    <row r="32" spans="1:13" x14ac:dyDescent="0.25">
      <c r="A32" t="s">
        <v>106</v>
      </c>
      <c r="B32" s="1">
        <v>9</v>
      </c>
      <c r="C32" s="1">
        <v>20</v>
      </c>
      <c r="D32" s="1">
        <v>5</v>
      </c>
      <c r="E32" s="1">
        <v>0.14000000000000001</v>
      </c>
      <c r="F32" s="1">
        <v>52</v>
      </c>
      <c r="G32" s="1">
        <v>47</v>
      </c>
    </row>
    <row r="33" spans="1:7" x14ac:dyDescent="0.25">
      <c r="A33" t="s">
        <v>107</v>
      </c>
      <c r="B33" s="1">
        <v>4.5</v>
      </c>
      <c r="C33" s="1"/>
      <c r="D33" s="1">
        <v>5.0999999999999996</v>
      </c>
      <c r="E33" s="1">
        <v>0.14000000000000001</v>
      </c>
      <c r="F33" s="1"/>
      <c r="G33" s="1"/>
    </row>
    <row r="34" spans="1:7" x14ac:dyDescent="0.25">
      <c r="A34" t="s">
        <v>108</v>
      </c>
      <c r="B34" s="1">
        <v>9.4</v>
      </c>
      <c r="C34" s="1"/>
      <c r="D34" s="1">
        <v>4.7</v>
      </c>
      <c r="E34" s="1">
        <v>0.14000000000000001</v>
      </c>
      <c r="F34" s="1"/>
      <c r="G34" s="1"/>
    </row>
    <row r="35" spans="1:7" x14ac:dyDescent="0.25">
      <c r="A35" t="s">
        <v>109</v>
      </c>
      <c r="B35" s="1">
        <v>8.9</v>
      </c>
      <c r="C35" s="1">
        <v>20</v>
      </c>
      <c r="D35" s="1">
        <v>5</v>
      </c>
      <c r="E35" s="1">
        <v>0.14000000000000001</v>
      </c>
      <c r="F35" s="1">
        <v>54</v>
      </c>
      <c r="G35" s="1">
        <v>48</v>
      </c>
    </row>
    <row r="36" spans="1:7" x14ac:dyDescent="0.25">
      <c r="A36" t="s">
        <v>110</v>
      </c>
      <c r="B36" s="1">
        <v>8.9</v>
      </c>
      <c r="C36" s="1"/>
      <c r="D36" s="1">
        <v>5</v>
      </c>
      <c r="E36" s="1">
        <v>0.13</v>
      </c>
      <c r="F36" s="1">
        <v>52</v>
      </c>
      <c r="G36" s="1">
        <v>47</v>
      </c>
    </row>
    <row r="37" spans="1:7" x14ac:dyDescent="0.25">
      <c r="A37" t="s">
        <v>221</v>
      </c>
      <c r="B37" s="1">
        <v>8.3000000000000007</v>
      </c>
      <c r="C37" s="1">
        <v>19</v>
      </c>
      <c r="D37" s="1"/>
      <c r="E37" s="1"/>
      <c r="F37" s="1"/>
      <c r="G37" s="1"/>
    </row>
    <row r="38" spans="1:7" x14ac:dyDescent="0.25">
      <c r="A38" t="s">
        <v>219</v>
      </c>
      <c r="B38" s="1">
        <v>8.6999999999999993</v>
      </c>
      <c r="C38" s="1">
        <v>20</v>
      </c>
      <c r="D38" s="1"/>
      <c r="E38" s="1"/>
      <c r="F38" s="1"/>
      <c r="G38" s="1"/>
    </row>
    <row r="39" spans="1:7" x14ac:dyDescent="0.25">
      <c r="A39" t="s">
        <v>111</v>
      </c>
      <c r="B39" s="1">
        <v>8.6999999999999993</v>
      </c>
      <c r="C39" s="1"/>
      <c r="D39" s="1">
        <v>5.0999999999999996</v>
      </c>
      <c r="E39" s="1">
        <v>0.11</v>
      </c>
      <c r="F39" s="1"/>
      <c r="G39" s="1"/>
    </row>
    <row r="40" spans="1:7" x14ac:dyDescent="0.25">
      <c r="A40" t="s">
        <v>112</v>
      </c>
      <c r="B40" s="1"/>
      <c r="C40" s="1">
        <v>20</v>
      </c>
      <c r="D40" s="1"/>
      <c r="E40" s="1"/>
      <c r="F40" s="1"/>
      <c r="G40" s="1"/>
    </row>
    <row r="41" spans="1:7" x14ac:dyDescent="0.25">
      <c r="A41" t="s">
        <v>113</v>
      </c>
      <c r="B41" s="1">
        <v>8.6999999999999993</v>
      </c>
      <c r="C41" s="1"/>
      <c r="D41" s="1">
        <v>5.0999999999999996</v>
      </c>
      <c r="E41" s="1">
        <v>0.11</v>
      </c>
      <c r="F41" s="1"/>
      <c r="G41" s="1"/>
    </row>
    <row r="42" spans="1:7" x14ac:dyDescent="0.25">
      <c r="A42" t="s">
        <v>114</v>
      </c>
      <c r="B42" s="1">
        <v>8.6999999999999993</v>
      </c>
      <c r="C42" s="1">
        <v>19</v>
      </c>
      <c r="D42" s="1">
        <v>5.0999999999999996</v>
      </c>
      <c r="E42" s="1">
        <v>0.11</v>
      </c>
      <c r="F42" s="1"/>
      <c r="G42" s="1"/>
    </row>
    <row r="43" spans="1:7" x14ac:dyDescent="0.25">
      <c r="A43" t="s">
        <v>115</v>
      </c>
      <c r="B43" s="1">
        <v>8.6999999999999993</v>
      </c>
      <c r="C43" s="1"/>
      <c r="D43" s="1">
        <v>5.0999999999999996</v>
      </c>
      <c r="E43" s="1">
        <v>0.11</v>
      </c>
      <c r="F43" s="1"/>
      <c r="G43" s="1"/>
    </row>
    <row r="44" spans="1:7" x14ac:dyDescent="0.25">
      <c r="A44" t="s">
        <v>116</v>
      </c>
      <c r="B44" s="1"/>
      <c r="C44" s="1">
        <v>20</v>
      </c>
      <c r="D44" s="1"/>
      <c r="E44" s="1"/>
      <c r="F44" s="1">
        <v>55</v>
      </c>
      <c r="G44" s="1">
        <v>49</v>
      </c>
    </row>
  </sheetData>
  <dataValidations count="3">
    <dataValidation type="list" allowBlank="1" showInputMessage="1" showErrorMessage="1" sqref="C7">
      <formula1>"unfortified,22,24"</formula1>
    </dataValidation>
    <dataValidation type="list" allowBlank="1" showInputMessage="1" showErrorMessage="1" sqref="C14">
      <formula1>"g,ozm,lbm"</formula1>
    </dataValidation>
    <dataValidation type="list" allowBlank="1" showInputMessage="1" showErrorMessage="1" sqref="C5">
      <formula1>INDIRECT("tblFormula[Formula]")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41"/>
  <sheetViews>
    <sheetView workbookViewId="0">
      <selection activeCell="E10" sqref="E10"/>
    </sheetView>
  </sheetViews>
  <sheetFormatPr defaultRowHeight="15" x14ac:dyDescent="0.25"/>
  <cols>
    <col min="1" max="1" width="21.140625" bestFit="1" customWidth="1"/>
    <col min="2" max="2" width="6.7109375" customWidth="1"/>
    <col min="3" max="3" width="7.85546875" customWidth="1"/>
    <col min="4" max="4" width="6.85546875" customWidth="1"/>
    <col min="5" max="5" width="8.140625" customWidth="1"/>
    <col min="6" max="6" width="7.85546875" customWidth="1"/>
    <col min="7" max="7" width="7.5703125" customWidth="1"/>
    <col min="8" max="8" width="8.140625" customWidth="1"/>
    <col min="9" max="9" width="8" customWidth="1"/>
    <col min="10" max="10" width="11.42578125" customWidth="1"/>
    <col min="11" max="11" width="7.5703125" customWidth="1"/>
    <col min="12" max="13" width="7.28515625" bestFit="1" customWidth="1"/>
    <col min="14" max="14" width="7" bestFit="1" customWidth="1"/>
    <col min="15" max="15" width="8.28515625" customWidth="1"/>
    <col min="16" max="16" width="10.140625" bestFit="1" customWidth="1"/>
    <col min="17" max="17" width="8.42578125" customWidth="1"/>
    <col min="18" max="18" width="9.140625" customWidth="1"/>
    <col min="19" max="19" width="9.140625" bestFit="1" customWidth="1"/>
    <col min="20" max="20" width="7.28515625" customWidth="1"/>
    <col min="21" max="21" width="8.42578125" customWidth="1"/>
    <col min="22" max="22" width="7.5703125" customWidth="1"/>
    <col min="23" max="23" width="7.140625" customWidth="1"/>
    <col min="24" max="24" width="8.42578125" customWidth="1"/>
    <col min="25" max="25" width="9.85546875" bestFit="1" customWidth="1"/>
    <col min="26" max="26" width="8.7109375" customWidth="1"/>
    <col min="27" max="27" width="7.28515625" customWidth="1"/>
    <col min="28" max="28" width="7.7109375" customWidth="1"/>
    <col min="29" max="29" width="8" customWidth="1"/>
    <col min="30" max="30" width="6.85546875" bestFit="1" customWidth="1"/>
    <col min="31" max="31" width="6.7109375" bestFit="1" customWidth="1"/>
    <col min="32" max="32" width="7.42578125" customWidth="1"/>
    <col min="33" max="33" width="9.42578125" bestFit="1" customWidth="1"/>
    <col min="34" max="34" width="9" bestFit="1" customWidth="1"/>
    <col min="35" max="35" width="11" customWidth="1"/>
    <col min="36" max="36" width="10.42578125" customWidth="1"/>
    <col min="37" max="37" width="11" customWidth="1"/>
    <col min="38" max="38" width="7.7109375" customWidth="1"/>
    <col min="39" max="39" width="6.42578125" customWidth="1"/>
    <col min="40" max="40" width="5.85546875" customWidth="1"/>
    <col min="41" max="41" width="6" customWidth="1"/>
    <col min="42" max="42" width="6.42578125" customWidth="1"/>
  </cols>
  <sheetData>
    <row r="1" spans="1:45" x14ac:dyDescent="0.25">
      <c r="A1" s="111" t="s">
        <v>181</v>
      </c>
      <c r="B1" s="70"/>
      <c r="C1" s="70" t="s">
        <v>2</v>
      </c>
      <c r="D1" s="70" t="s">
        <v>4</v>
      </c>
      <c r="I1" s="70" t="s">
        <v>3</v>
      </c>
      <c r="J1" s="70" t="s">
        <v>4</v>
      </c>
      <c r="K1" s="70" t="s">
        <v>4</v>
      </c>
      <c r="L1" s="70" t="s">
        <v>4</v>
      </c>
      <c r="M1" s="70" t="s">
        <v>4</v>
      </c>
      <c r="N1" s="70" t="s">
        <v>11</v>
      </c>
      <c r="O1" s="70" t="s">
        <v>13</v>
      </c>
      <c r="P1" s="70" t="s">
        <v>13</v>
      </c>
      <c r="Q1" s="70" t="s">
        <v>13</v>
      </c>
      <c r="R1" s="70" t="s">
        <v>17</v>
      </c>
      <c r="S1" s="70" t="s">
        <v>17</v>
      </c>
      <c r="T1" s="70" t="s">
        <v>17</v>
      </c>
      <c r="U1" s="70" t="s">
        <v>17</v>
      </c>
      <c r="V1" s="70" t="s">
        <v>17</v>
      </c>
      <c r="W1" s="70" t="s">
        <v>17</v>
      </c>
      <c r="X1" s="70" t="s">
        <v>17</v>
      </c>
      <c r="Y1" s="70" t="s">
        <v>17</v>
      </c>
      <c r="Z1" s="70" t="s">
        <v>17</v>
      </c>
      <c r="AA1" s="70" t="s">
        <v>11</v>
      </c>
      <c r="AB1" s="70" t="s">
        <v>11</v>
      </c>
      <c r="AC1" s="70" t="s">
        <v>11</v>
      </c>
      <c r="AD1" s="70" t="s">
        <v>11</v>
      </c>
      <c r="AE1" s="70" t="s">
        <v>11</v>
      </c>
      <c r="AF1" s="70" t="s">
        <v>11</v>
      </c>
      <c r="AG1" s="70" t="s">
        <v>11</v>
      </c>
      <c r="AH1" s="70" t="s">
        <v>11</v>
      </c>
      <c r="AI1" s="70" t="s">
        <v>17</v>
      </c>
      <c r="AJ1" s="70" t="s">
        <v>17</v>
      </c>
      <c r="AK1" s="70" t="s">
        <v>17</v>
      </c>
      <c r="AL1" s="70" t="s">
        <v>17</v>
      </c>
      <c r="AM1" s="70" t="s">
        <v>11</v>
      </c>
      <c r="AN1" s="70" t="s">
        <v>11</v>
      </c>
      <c r="AO1" s="70" t="s">
        <v>11</v>
      </c>
      <c r="AP1" s="70" t="s">
        <v>17</v>
      </c>
      <c r="AQ1" s="70" t="s">
        <v>17</v>
      </c>
      <c r="AR1" s="109" t="s">
        <v>11</v>
      </c>
      <c r="AS1" s="109" t="s">
        <v>11</v>
      </c>
    </row>
    <row r="2" spans="1:45" ht="31.5" customHeight="1" x14ac:dyDescent="0.25">
      <c r="A2" s="113" t="s">
        <v>0</v>
      </c>
      <c r="B2" s="113" t="s">
        <v>41</v>
      </c>
      <c r="C2" s="113" t="s">
        <v>42</v>
      </c>
      <c r="D2" s="113" t="s">
        <v>243</v>
      </c>
      <c r="E2" s="113" t="s">
        <v>267</v>
      </c>
      <c r="F2" s="113" t="s">
        <v>268</v>
      </c>
      <c r="G2" s="113" t="s">
        <v>269</v>
      </c>
      <c r="H2" s="113" t="s">
        <v>270</v>
      </c>
      <c r="I2" s="113" t="s">
        <v>9</v>
      </c>
      <c r="J2" s="113" t="s">
        <v>8</v>
      </c>
      <c r="K2" s="113" t="s">
        <v>7</v>
      </c>
      <c r="L2" s="113" t="s">
        <v>5</v>
      </c>
      <c r="M2" s="113" t="s">
        <v>6</v>
      </c>
      <c r="N2" s="113" t="s">
        <v>10</v>
      </c>
      <c r="O2" s="113" t="s">
        <v>12</v>
      </c>
      <c r="P2" s="113" t="s">
        <v>14</v>
      </c>
      <c r="Q2" s="113" t="s">
        <v>15</v>
      </c>
      <c r="R2" s="113" t="s">
        <v>16</v>
      </c>
      <c r="S2" s="113" t="s">
        <v>18</v>
      </c>
      <c r="T2" s="113" t="s">
        <v>19</v>
      </c>
      <c r="U2" s="113" t="s">
        <v>20</v>
      </c>
      <c r="V2" s="113" t="s">
        <v>21</v>
      </c>
      <c r="W2" s="113" t="s">
        <v>22</v>
      </c>
      <c r="X2" s="113" t="s">
        <v>23</v>
      </c>
      <c r="Y2" s="113" t="s">
        <v>24</v>
      </c>
      <c r="Z2" s="113" t="s">
        <v>25</v>
      </c>
      <c r="AA2" s="113" t="s">
        <v>26</v>
      </c>
      <c r="AB2" s="113" t="s">
        <v>27</v>
      </c>
      <c r="AC2" s="113" t="s">
        <v>28</v>
      </c>
      <c r="AD2" s="113" t="s">
        <v>29</v>
      </c>
      <c r="AE2" s="113" t="s">
        <v>30</v>
      </c>
      <c r="AF2" s="113" t="s">
        <v>31</v>
      </c>
      <c r="AG2" s="113" t="s">
        <v>32</v>
      </c>
      <c r="AH2" s="113" t="s">
        <v>33</v>
      </c>
      <c r="AI2" s="113" t="s">
        <v>34</v>
      </c>
      <c r="AJ2" s="113" t="s">
        <v>35</v>
      </c>
      <c r="AK2" s="113" t="s">
        <v>36</v>
      </c>
      <c r="AL2" s="113" t="s">
        <v>37</v>
      </c>
      <c r="AM2" s="113" t="s">
        <v>38</v>
      </c>
      <c r="AN2" s="113" t="s">
        <v>39</v>
      </c>
      <c r="AO2" s="113" t="s">
        <v>40</v>
      </c>
      <c r="AP2" s="113" t="s">
        <v>185</v>
      </c>
      <c r="AQ2" s="113" t="s">
        <v>186</v>
      </c>
      <c r="AR2" s="113" t="s">
        <v>252</v>
      </c>
      <c r="AS2" s="113" t="s">
        <v>253</v>
      </c>
    </row>
    <row r="3" spans="1:45" x14ac:dyDescent="0.25">
      <c r="A3" s="2" t="s">
        <v>99</v>
      </c>
      <c r="B3" s="112">
        <v>1000</v>
      </c>
      <c r="C3" s="112" t="s">
        <v>2</v>
      </c>
      <c r="D3" s="112">
        <v>8.6999999999999993</v>
      </c>
      <c r="E3" s="112">
        <v>60</v>
      </c>
      <c r="F3" s="112">
        <v>54</v>
      </c>
      <c r="G3" s="112">
        <v>48</v>
      </c>
      <c r="H3" s="112"/>
      <c r="I3" s="112">
        <v>676</v>
      </c>
      <c r="J3" s="112">
        <v>18.600000000000001</v>
      </c>
      <c r="K3" s="112">
        <v>37.47</v>
      </c>
      <c r="L3" s="112">
        <v>69</v>
      </c>
      <c r="M3" s="112">
        <v>899</v>
      </c>
      <c r="N3" s="112">
        <v>5408</v>
      </c>
      <c r="O3" s="112">
        <v>2029</v>
      </c>
      <c r="P3" s="112">
        <v>406</v>
      </c>
      <c r="Q3" s="112">
        <v>20.3</v>
      </c>
      <c r="R3" s="112">
        <v>54.08</v>
      </c>
      <c r="S3" s="112">
        <v>406</v>
      </c>
      <c r="T3" s="112">
        <v>609</v>
      </c>
      <c r="U3" s="112">
        <v>406</v>
      </c>
      <c r="V3" s="112">
        <v>3.04</v>
      </c>
      <c r="W3" s="112">
        <v>9130</v>
      </c>
      <c r="X3" s="112">
        <v>101</v>
      </c>
      <c r="Y3" s="112">
        <v>5072</v>
      </c>
      <c r="Z3" s="112">
        <v>30.4</v>
      </c>
      <c r="AA3" s="112">
        <v>61</v>
      </c>
      <c r="AB3" s="112">
        <v>81</v>
      </c>
      <c r="AC3" s="112">
        <v>33.799999999999997</v>
      </c>
      <c r="AD3" s="112">
        <v>710</v>
      </c>
      <c r="AE3" s="112">
        <v>507</v>
      </c>
      <c r="AF3" s="112">
        <v>50.7</v>
      </c>
      <c r="AG3" s="112">
        <v>12.17</v>
      </c>
      <c r="AH3" s="112">
        <v>5.07</v>
      </c>
      <c r="AI3" s="112">
        <v>54</v>
      </c>
      <c r="AJ3" s="112">
        <v>507</v>
      </c>
      <c r="AK3" s="112">
        <v>101</v>
      </c>
      <c r="AL3" s="112">
        <v>13.52</v>
      </c>
      <c r="AM3" s="112">
        <v>298</v>
      </c>
      <c r="AN3" s="112">
        <v>798</v>
      </c>
      <c r="AO3" s="112">
        <v>541</v>
      </c>
      <c r="AP3" s="1"/>
      <c r="AQ3" s="1"/>
      <c r="AR3" s="1"/>
      <c r="AS3" s="1"/>
    </row>
    <row r="4" spans="1:45" x14ac:dyDescent="0.25">
      <c r="A4" s="2" t="s">
        <v>100</v>
      </c>
      <c r="B4" s="112">
        <v>5</v>
      </c>
      <c r="C4" s="112" t="s">
        <v>47</v>
      </c>
      <c r="D4" s="112">
        <v>9.4</v>
      </c>
      <c r="E4" s="112">
        <v>60</v>
      </c>
      <c r="F4" s="112">
        <v>54</v>
      </c>
      <c r="G4" s="112">
        <v>48</v>
      </c>
      <c r="H4" s="112"/>
      <c r="I4" s="112">
        <v>100</v>
      </c>
      <c r="J4" s="112">
        <v>3.1</v>
      </c>
      <c r="K4" s="112">
        <v>4.8</v>
      </c>
      <c r="L4" s="112">
        <v>10.7</v>
      </c>
      <c r="M4" s="112">
        <v>132</v>
      </c>
      <c r="N4" s="112">
        <v>840</v>
      </c>
      <c r="O4" s="112">
        <v>273</v>
      </c>
      <c r="P4" s="112">
        <v>60</v>
      </c>
      <c r="Q4" s="112">
        <v>2.1</v>
      </c>
      <c r="R4" s="112">
        <v>13</v>
      </c>
      <c r="S4" s="112">
        <v>210</v>
      </c>
      <c r="T4" s="112">
        <v>105</v>
      </c>
      <c r="U4" s="112">
        <v>84.2</v>
      </c>
      <c r="V4" s="112">
        <v>0.4</v>
      </c>
      <c r="W4" s="112">
        <v>1680</v>
      </c>
      <c r="X4" s="112">
        <v>29.5</v>
      </c>
      <c r="Y4" s="112">
        <v>421</v>
      </c>
      <c r="Z4" s="112">
        <v>4.2</v>
      </c>
      <c r="AA4" s="112">
        <v>9</v>
      </c>
      <c r="AB4" s="112">
        <v>15</v>
      </c>
      <c r="AC4" s="112">
        <v>5.0999999999999996</v>
      </c>
      <c r="AD4" s="112">
        <v>116</v>
      </c>
      <c r="AE4" s="112">
        <v>84.2</v>
      </c>
      <c r="AF4" s="112">
        <v>8.4</v>
      </c>
      <c r="AG4" s="112">
        <v>1.8</v>
      </c>
      <c r="AH4" s="112">
        <v>1.1499999999999999</v>
      </c>
      <c r="AI4" s="112">
        <v>84</v>
      </c>
      <c r="AJ4" s="112">
        <v>126</v>
      </c>
      <c r="AK4" s="112">
        <v>8.9</v>
      </c>
      <c r="AL4" s="112">
        <v>2.6</v>
      </c>
      <c r="AM4" s="112">
        <v>45</v>
      </c>
      <c r="AN4" s="112">
        <v>150</v>
      </c>
      <c r="AO4" s="112">
        <v>60</v>
      </c>
      <c r="AP4" s="1">
        <v>2.5</v>
      </c>
      <c r="AQ4" s="1">
        <v>2.2999999999999998</v>
      </c>
      <c r="AR4" s="1"/>
      <c r="AS4" s="1"/>
    </row>
    <row r="5" spans="1:45" x14ac:dyDescent="0.25">
      <c r="A5" s="2" t="s">
        <v>250</v>
      </c>
      <c r="B5" s="112">
        <v>5</v>
      </c>
      <c r="C5" s="112" t="s">
        <v>47</v>
      </c>
      <c r="D5" s="112">
        <v>9</v>
      </c>
      <c r="E5" s="112">
        <v>60</v>
      </c>
      <c r="F5" s="112">
        <v>53</v>
      </c>
      <c r="G5" s="112">
        <v>48</v>
      </c>
      <c r="H5" s="112" t="s">
        <v>244</v>
      </c>
      <c r="I5" s="112">
        <v>100</v>
      </c>
      <c r="J5" s="112">
        <v>2.5</v>
      </c>
      <c r="K5" s="112">
        <v>5.0999999999999996</v>
      </c>
      <c r="L5" s="112">
        <v>11.3</v>
      </c>
      <c r="M5" s="112">
        <v>133</v>
      </c>
      <c r="N5" s="112">
        <v>780</v>
      </c>
      <c r="O5" s="112">
        <v>300</v>
      </c>
      <c r="P5" s="112">
        <v>60</v>
      </c>
      <c r="Q5" s="112">
        <v>2</v>
      </c>
      <c r="R5" s="112">
        <v>9</v>
      </c>
      <c r="S5" s="112">
        <v>80</v>
      </c>
      <c r="T5" s="112">
        <v>140</v>
      </c>
      <c r="U5" s="112">
        <v>60</v>
      </c>
      <c r="V5" s="112">
        <v>0.3</v>
      </c>
      <c r="W5" s="112">
        <v>1000</v>
      </c>
      <c r="X5" s="112">
        <v>16</v>
      </c>
      <c r="Y5" s="112">
        <v>500</v>
      </c>
      <c r="Z5" s="112">
        <v>3</v>
      </c>
      <c r="AA5" s="112">
        <v>12</v>
      </c>
      <c r="AB5" s="112">
        <v>24</v>
      </c>
      <c r="AC5" s="112">
        <v>6</v>
      </c>
      <c r="AD5" s="112">
        <v>78</v>
      </c>
      <c r="AE5" s="112">
        <v>53</v>
      </c>
      <c r="AF5" s="112">
        <v>8</v>
      </c>
      <c r="AG5" s="112">
        <v>1.8</v>
      </c>
      <c r="AH5" s="112">
        <v>1</v>
      </c>
      <c r="AI5" s="112">
        <v>15</v>
      </c>
      <c r="AJ5" s="112">
        <v>75</v>
      </c>
      <c r="AK5" s="112">
        <v>15</v>
      </c>
      <c r="AL5" s="112">
        <v>2.8</v>
      </c>
      <c r="AM5" s="112">
        <v>40</v>
      </c>
      <c r="AN5" s="112">
        <v>108</v>
      </c>
      <c r="AO5" s="112">
        <v>75</v>
      </c>
      <c r="AP5" s="1"/>
      <c r="AQ5" s="1"/>
      <c r="AR5" s="1"/>
      <c r="AS5" s="1"/>
    </row>
    <row r="6" spans="1:45" x14ac:dyDescent="0.25">
      <c r="A6" s="2" t="s">
        <v>254</v>
      </c>
      <c r="B6" s="112">
        <v>4.5</v>
      </c>
      <c r="C6" s="112" t="s">
        <v>47</v>
      </c>
      <c r="D6" s="112">
        <v>9.8000000000000007</v>
      </c>
      <c r="E6" s="112"/>
      <c r="F6" s="112"/>
      <c r="G6" s="112"/>
      <c r="H6" s="112"/>
      <c r="I6" s="112">
        <v>100</v>
      </c>
      <c r="J6" s="112">
        <v>2.8</v>
      </c>
      <c r="K6" s="112">
        <v>5.3</v>
      </c>
      <c r="L6" s="112">
        <v>10.4</v>
      </c>
      <c r="M6" s="112">
        <v>117</v>
      </c>
      <c r="N6" s="112">
        <v>860</v>
      </c>
      <c r="O6" s="112">
        <v>450</v>
      </c>
      <c r="P6" s="112">
        <v>70</v>
      </c>
      <c r="Q6" s="112">
        <v>4</v>
      </c>
      <c r="R6" s="112">
        <v>8</v>
      </c>
      <c r="S6" s="112">
        <v>200</v>
      </c>
      <c r="T6" s="112">
        <v>200</v>
      </c>
      <c r="U6" s="112">
        <v>60</v>
      </c>
      <c r="V6" s="112">
        <v>0.3</v>
      </c>
      <c r="W6" s="112">
        <v>1000</v>
      </c>
      <c r="X6" s="112">
        <v>26</v>
      </c>
      <c r="Y6" s="112">
        <v>850</v>
      </c>
      <c r="Z6" s="112">
        <v>5</v>
      </c>
      <c r="AA6" s="112">
        <v>16</v>
      </c>
      <c r="AB6" s="112">
        <v>24</v>
      </c>
      <c r="AC6" s="112">
        <v>30</v>
      </c>
      <c r="AD6" s="112">
        <v>120</v>
      </c>
      <c r="AE6" s="112">
        <v>66</v>
      </c>
      <c r="AF6" s="112">
        <v>8</v>
      </c>
      <c r="AG6" s="112">
        <v>1.8</v>
      </c>
      <c r="AH6" s="112">
        <v>1</v>
      </c>
      <c r="AI6" s="112">
        <v>15</v>
      </c>
      <c r="AJ6" s="112">
        <v>120</v>
      </c>
      <c r="AK6" s="112">
        <v>21</v>
      </c>
      <c r="AL6" s="112">
        <v>2.8</v>
      </c>
      <c r="AM6" s="112">
        <v>37</v>
      </c>
      <c r="AN6" s="112">
        <v>105</v>
      </c>
      <c r="AO6" s="112">
        <v>78</v>
      </c>
      <c r="AP6" s="1"/>
      <c r="AQ6" s="1"/>
      <c r="AR6" s="1"/>
      <c r="AS6" s="1"/>
    </row>
    <row r="7" spans="1:45" x14ac:dyDescent="0.25">
      <c r="A7" s="2" t="s">
        <v>247</v>
      </c>
      <c r="B7" s="112">
        <v>5</v>
      </c>
      <c r="C7" s="112" t="s">
        <v>47</v>
      </c>
      <c r="D7" s="112">
        <v>8.6999999999999993</v>
      </c>
      <c r="E7" s="112"/>
      <c r="F7" s="112"/>
      <c r="G7" s="112"/>
      <c r="H7" s="112"/>
      <c r="I7" s="112">
        <v>100</v>
      </c>
      <c r="J7" s="112">
        <v>2.2999999999999998</v>
      </c>
      <c r="K7" s="112">
        <v>5.3</v>
      </c>
      <c r="L7" s="112">
        <v>10.8</v>
      </c>
      <c r="M7" s="112">
        <v>133</v>
      </c>
      <c r="N7" s="112">
        <v>800</v>
      </c>
      <c r="O7" s="112">
        <v>300</v>
      </c>
      <c r="P7" s="112">
        <v>60</v>
      </c>
      <c r="Q7" s="112">
        <v>2</v>
      </c>
      <c r="R7" s="112">
        <v>9</v>
      </c>
      <c r="S7" s="112">
        <v>80</v>
      </c>
      <c r="T7" s="112">
        <v>140</v>
      </c>
      <c r="U7" s="112">
        <v>60</v>
      </c>
      <c r="V7" s="112">
        <v>0.3</v>
      </c>
      <c r="W7" s="112">
        <v>1000</v>
      </c>
      <c r="X7" s="112">
        <v>16</v>
      </c>
      <c r="Y7" s="112">
        <v>500</v>
      </c>
      <c r="Z7" s="112">
        <v>3</v>
      </c>
      <c r="AA7" s="112">
        <v>12</v>
      </c>
      <c r="AB7" s="112">
        <v>24</v>
      </c>
      <c r="AC7" s="112">
        <v>6</v>
      </c>
      <c r="AD7" s="112">
        <v>82</v>
      </c>
      <c r="AE7" s="112">
        <v>46</v>
      </c>
      <c r="AF7" s="112">
        <v>8</v>
      </c>
      <c r="AG7" s="112">
        <v>1.8</v>
      </c>
      <c r="AH7" s="112">
        <v>1</v>
      </c>
      <c r="AI7" s="112">
        <v>15</v>
      </c>
      <c r="AJ7" s="112">
        <v>75</v>
      </c>
      <c r="AK7" s="112">
        <v>15</v>
      </c>
      <c r="AL7" s="112">
        <v>2.8</v>
      </c>
      <c r="AM7" s="112">
        <v>36</v>
      </c>
      <c r="AN7" s="112">
        <v>108</v>
      </c>
      <c r="AO7" s="112">
        <v>63</v>
      </c>
      <c r="AP7" s="1"/>
      <c r="AQ7" s="1"/>
      <c r="AR7" s="1"/>
      <c r="AS7" s="1"/>
    </row>
    <row r="8" spans="1:45" x14ac:dyDescent="0.25">
      <c r="A8" s="2" t="s">
        <v>246</v>
      </c>
      <c r="B8" s="112">
        <v>5</v>
      </c>
      <c r="C8" s="112" t="s">
        <v>47</v>
      </c>
      <c r="D8" s="112">
        <v>8.8000000000000007</v>
      </c>
      <c r="E8" s="112">
        <v>60</v>
      </c>
      <c r="F8" s="112">
        <v>52</v>
      </c>
      <c r="G8" s="112">
        <v>47</v>
      </c>
      <c r="H8" s="112"/>
      <c r="I8" s="112">
        <v>100</v>
      </c>
      <c r="J8" s="112">
        <v>2</v>
      </c>
      <c r="K8" s="112">
        <v>5.3</v>
      </c>
      <c r="L8" s="112">
        <v>11.3</v>
      </c>
      <c r="M8" s="112">
        <v>133</v>
      </c>
      <c r="N8" s="112">
        <v>780</v>
      </c>
      <c r="O8" s="112">
        <v>300</v>
      </c>
      <c r="P8" s="112">
        <v>60</v>
      </c>
      <c r="Q8" s="112">
        <v>2</v>
      </c>
      <c r="R8" s="112">
        <v>9</v>
      </c>
      <c r="S8" s="112">
        <v>80</v>
      </c>
      <c r="T8" s="112">
        <v>140</v>
      </c>
      <c r="U8" s="112">
        <v>60</v>
      </c>
      <c r="V8" s="112">
        <v>0.3</v>
      </c>
      <c r="W8" s="112">
        <v>1000</v>
      </c>
      <c r="X8" s="112">
        <v>16</v>
      </c>
      <c r="Y8" s="112">
        <v>500</v>
      </c>
      <c r="Z8" s="112">
        <v>3</v>
      </c>
      <c r="AA8" s="112">
        <v>12</v>
      </c>
      <c r="AB8" s="112">
        <v>24</v>
      </c>
      <c r="AC8" s="112">
        <v>24</v>
      </c>
      <c r="AD8" s="112">
        <v>78</v>
      </c>
      <c r="AE8" s="112">
        <v>43</v>
      </c>
      <c r="AF8" s="112">
        <v>8</v>
      </c>
      <c r="AG8" s="112">
        <v>1.8</v>
      </c>
      <c r="AH8" s="112">
        <v>1</v>
      </c>
      <c r="AI8" s="112">
        <v>15</v>
      </c>
      <c r="AJ8" s="112">
        <v>75</v>
      </c>
      <c r="AK8" s="112">
        <v>15</v>
      </c>
      <c r="AL8" s="112">
        <v>2.8</v>
      </c>
      <c r="AM8" s="112">
        <v>27</v>
      </c>
      <c r="AN8" s="112">
        <v>108</v>
      </c>
      <c r="AO8" s="112">
        <v>63</v>
      </c>
      <c r="AP8" s="1">
        <v>0</v>
      </c>
      <c r="AQ8" s="1">
        <v>0</v>
      </c>
      <c r="AR8" s="1"/>
      <c r="AS8" s="1"/>
    </row>
    <row r="9" spans="1:45" x14ac:dyDescent="0.25">
      <c r="A9" s="2" t="s">
        <v>245</v>
      </c>
      <c r="B9" s="112">
        <v>5</v>
      </c>
      <c r="C9" s="112" t="s">
        <v>47</v>
      </c>
      <c r="D9" s="112">
        <v>8.6999999999999993</v>
      </c>
      <c r="E9" s="112">
        <v>60</v>
      </c>
      <c r="F9" s="112">
        <v>52</v>
      </c>
      <c r="G9" s="112">
        <v>47</v>
      </c>
      <c r="H9" s="112"/>
      <c r="I9" s="112">
        <v>100</v>
      </c>
      <c r="J9" s="112">
        <v>2.1</v>
      </c>
      <c r="K9" s="112">
        <v>5.3</v>
      </c>
      <c r="L9" s="112">
        <v>11.2</v>
      </c>
      <c r="M9" s="112">
        <v>133</v>
      </c>
      <c r="N9" s="112">
        <v>860</v>
      </c>
      <c r="O9" s="112">
        <v>300</v>
      </c>
      <c r="P9" s="112">
        <v>75</v>
      </c>
      <c r="Q9" s="112">
        <v>2</v>
      </c>
      <c r="R9" s="112">
        <v>9</v>
      </c>
      <c r="S9" s="112">
        <v>80</v>
      </c>
      <c r="T9" s="112">
        <v>140</v>
      </c>
      <c r="U9" s="112">
        <v>60</v>
      </c>
      <c r="V9" s="112">
        <v>0.3</v>
      </c>
      <c r="W9" s="112">
        <v>1000</v>
      </c>
      <c r="X9" s="112">
        <v>16</v>
      </c>
      <c r="Y9" s="112">
        <v>500</v>
      </c>
      <c r="Z9" s="112">
        <v>3</v>
      </c>
      <c r="AA9" s="112">
        <v>12</v>
      </c>
      <c r="AB9" s="112">
        <v>24</v>
      </c>
      <c r="AC9" s="112">
        <v>6</v>
      </c>
      <c r="AD9" s="112">
        <v>78</v>
      </c>
      <c r="AE9" s="112">
        <v>43</v>
      </c>
      <c r="AF9" s="112">
        <v>8</v>
      </c>
      <c r="AG9" s="112">
        <v>1.8</v>
      </c>
      <c r="AH9" s="112">
        <v>1</v>
      </c>
      <c r="AI9" s="112">
        <v>15</v>
      </c>
      <c r="AJ9" s="112">
        <v>75</v>
      </c>
      <c r="AK9" s="112">
        <v>15</v>
      </c>
      <c r="AL9" s="112">
        <v>2.8</v>
      </c>
      <c r="AM9" s="112">
        <v>27</v>
      </c>
      <c r="AN9" s="112">
        <v>108</v>
      </c>
      <c r="AO9" s="112">
        <v>63</v>
      </c>
      <c r="AP9" s="1"/>
      <c r="AQ9" s="1"/>
      <c r="AR9" s="1"/>
      <c r="AS9" s="1"/>
    </row>
    <row r="10" spans="1:45" x14ac:dyDescent="0.25">
      <c r="A10" s="2" t="s">
        <v>1</v>
      </c>
      <c r="B10" s="112">
        <v>1000</v>
      </c>
      <c r="C10" s="112" t="s">
        <v>2</v>
      </c>
      <c r="D10" s="112">
        <v>9.6</v>
      </c>
      <c r="E10" s="112" t="s">
        <v>244</v>
      </c>
      <c r="F10" s="112"/>
      <c r="G10" s="112"/>
      <c r="H10" s="112"/>
      <c r="I10" s="112">
        <v>744</v>
      </c>
      <c r="J10" s="112">
        <v>20.83</v>
      </c>
      <c r="K10" s="112">
        <v>40.92</v>
      </c>
      <c r="L10" s="112">
        <v>75.099999999999994</v>
      </c>
      <c r="M10" s="112">
        <v>893</v>
      </c>
      <c r="N10" s="112">
        <v>5579</v>
      </c>
      <c r="O10" s="112">
        <v>2604</v>
      </c>
      <c r="P10" s="112">
        <v>521</v>
      </c>
      <c r="Q10" s="112">
        <v>26.8</v>
      </c>
      <c r="R10" s="112">
        <v>81.8</v>
      </c>
      <c r="S10" s="112">
        <v>1302</v>
      </c>
      <c r="T10" s="112">
        <v>1116</v>
      </c>
      <c r="U10" s="112">
        <v>744</v>
      </c>
      <c r="V10" s="112">
        <v>2.98</v>
      </c>
      <c r="W10" s="112">
        <v>14506</v>
      </c>
      <c r="X10" s="112">
        <v>186</v>
      </c>
      <c r="Y10" s="112">
        <v>5951</v>
      </c>
      <c r="Z10" s="112">
        <v>67</v>
      </c>
      <c r="AA10" s="112">
        <v>112</v>
      </c>
      <c r="AB10" s="112">
        <v>119</v>
      </c>
      <c r="AC10" s="112">
        <v>260</v>
      </c>
      <c r="AD10" s="112">
        <v>781</v>
      </c>
      <c r="AE10" s="112">
        <v>461</v>
      </c>
      <c r="AF10" s="112">
        <v>67</v>
      </c>
      <c r="AG10" s="112">
        <v>13.4</v>
      </c>
      <c r="AH10" s="112">
        <v>8.9</v>
      </c>
      <c r="AI10" s="112">
        <v>74</v>
      </c>
      <c r="AJ10" s="112">
        <v>893</v>
      </c>
      <c r="AK10" s="112">
        <v>112</v>
      </c>
      <c r="AL10" s="112">
        <v>17.100000000000001</v>
      </c>
      <c r="AM10" s="112">
        <v>245</v>
      </c>
      <c r="AN10" s="112">
        <v>1056</v>
      </c>
      <c r="AO10" s="112">
        <v>558</v>
      </c>
      <c r="AP10" s="1">
        <v>0</v>
      </c>
      <c r="AQ10" s="1">
        <v>0</v>
      </c>
      <c r="AR10" s="1"/>
      <c r="AS10" s="1"/>
    </row>
    <row r="11" spans="1:45" x14ac:dyDescent="0.25">
      <c r="A11" s="2" t="s">
        <v>256</v>
      </c>
      <c r="B11" s="112">
        <v>5</v>
      </c>
      <c r="C11" s="112" t="s">
        <v>47</v>
      </c>
      <c r="D11" s="112" t="s">
        <v>244</v>
      </c>
      <c r="E11" s="112"/>
      <c r="F11" s="112"/>
      <c r="G11" s="112"/>
      <c r="H11" s="112"/>
      <c r="I11" s="112">
        <v>100</v>
      </c>
      <c r="J11" s="112">
        <v>2.8</v>
      </c>
      <c r="K11" s="112">
        <v>5.3</v>
      </c>
      <c r="L11" s="112">
        <v>10.3</v>
      </c>
      <c r="M11" s="112">
        <v>133</v>
      </c>
      <c r="N11" s="112">
        <v>860</v>
      </c>
      <c r="O11" s="112">
        <v>300</v>
      </c>
      <c r="P11" s="112">
        <v>50</v>
      </c>
      <c r="Q11" s="112">
        <v>2</v>
      </c>
      <c r="R11" s="112">
        <v>9</v>
      </c>
      <c r="S11" s="112">
        <v>80</v>
      </c>
      <c r="T11" s="112">
        <v>90</v>
      </c>
      <c r="U11" s="112">
        <v>60</v>
      </c>
      <c r="V11" s="112">
        <v>0.3</v>
      </c>
      <c r="W11" s="112">
        <v>1000</v>
      </c>
      <c r="X11" s="112">
        <v>16</v>
      </c>
      <c r="Y11" s="112">
        <v>500</v>
      </c>
      <c r="Z11" s="112">
        <v>3</v>
      </c>
      <c r="AA11" s="112">
        <v>12</v>
      </c>
      <c r="AB11" s="112">
        <v>24</v>
      </c>
      <c r="AC11" s="112">
        <v>17</v>
      </c>
      <c r="AD11" s="112">
        <v>94</v>
      </c>
      <c r="AE11" s="112">
        <v>52</v>
      </c>
      <c r="AF11" s="112">
        <v>8</v>
      </c>
      <c r="AG11" s="112">
        <v>1.8</v>
      </c>
      <c r="AH11" s="112">
        <v>1</v>
      </c>
      <c r="AI11" s="112">
        <v>25</v>
      </c>
      <c r="AJ11" s="112">
        <v>75</v>
      </c>
      <c r="AK11" s="112">
        <v>15</v>
      </c>
      <c r="AL11" s="112">
        <v>2.8</v>
      </c>
      <c r="AM11" s="112">
        <v>47</v>
      </c>
      <c r="AN11" s="112">
        <v>110</v>
      </c>
      <c r="AO11" s="112">
        <v>86</v>
      </c>
      <c r="AP11" s="1"/>
      <c r="AQ11" s="1"/>
      <c r="AR11" s="1"/>
      <c r="AS11" s="1"/>
    </row>
    <row r="12" spans="1:45" x14ac:dyDescent="0.25">
      <c r="A12" s="2" t="s">
        <v>251</v>
      </c>
      <c r="B12" s="112">
        <v>5</v>
      </c>
      <c r="C12" s="112" t="s">
        <v>47</v>
      </c>
      <c r="D12" s="112">
        <v>9</v>
      </c>
      <c r="E12" s="112"/>
      <c r="F12" s="112"/>
      <c r="G12" s="112"/>
      <c r="H12" s="112"/>
      <c r="I12" s="112">
        <v>100</v>
      </c>
      <c r="J12" s="112">
        <v>2.8</v>
      </c>
      <c r="K12" s="112">
        <v>5.3</v>
      </c>
      <c r="L12" s="112">
        <v>10.3</v>
      </c>
      <c r="M12" s="112">
        <v>133</v>
      </c>
      <c r="N12" s="112">
        <v>860</v>
      </c>
      <c r="O12" s="112">
        <v>300</v>
      </c>
      <c r="P12" s="112">
        <v>50</v>
      </c>
      <c r="Q12" s="112">
        <v>2</v>
      </c>
      <c r="R12" s="112">
        <v>8</v>
      </c>
      <c r="S12" s="112">
        <v>80</v>
      </c>
      <c r="T12" s="112">
        <v>90</v>
      </c>
      <c r="U12" s="112">
        <v>60</v>
      </c>
      <c r="V12" s="112">
        <v>0.3</v>
      </c>
      <c r="W12" s="112">
        <v>1000</v>
      </c>
      <c r="X12" s="112">
        <v>16</v>
      </c>
      <c r="Y12" s="112">
        <v>500</v>
      </c>
      <c r="Z12" s="112">
        <v>3</v>
      </c>
      <c r="AA12" s="112">
        <v>12</v>
      </c>
      <c r="AB12" s="112">
        <v>24</v>
      </c>
      <c r="AC12" s="112">
        <v>17</v>
      </c>
      <c r="AD12" s="112">
        <v>94</v>
      </c>
      <c r="AE12" s="112">
        <v>52</v>
      </c>
      <c r="AF12" s="112">
        <v>11</v>
      </c>
      <c r="AG12" s="112">
        <v>1.8</v>
      </c>
      <c r="AH12" s="112">
        <v>1</v>
      </c>
      <c r="AI12" s="112">
        <v>60</v>
      </c>
      <c r="AJ12" s="112">
        <v>75</v>
      </c>
      <c r="AK12" s="112">
        <v>15</v>
      </c>
      <c r="AL12" s="112">
        <v>2.8</v>
      </c>
      <c r="AM12" s="112">
        <v>47</v>
      </c>
      <c r="AN12" s="112">
        <v>110</v>
      </c>
      <c r="AO12" s="112">
        <v>86</v>
      </c>
      <c r="AP12" s="1"/>
      <c r="AQ12" s="1"/>
      <c r="AR12" s="1">
        <v>2</v>
      </c>
      <c r="AS12" s="1">
        <v>6</v>
      </c>
    </row>
    <row r="13" spans="1:45" x14ac:dyDescent="0.25">
      <c r="A13" s="2" t="s">
        <v>221</v>
      </c>
      <c r="B13" s="112">
        <v>5.3</v>
      </c>
      <c r="C13" s="112" t="s">
        <v>47</v>
      </c>
      <c r="D13" s="112">
        <v>8.3000000000000007</v>
      </c>
      <c r="E13" s="112"/>
      <c r="F13" s="112"/>
      <c r="G13" s="112"/>
      <c r="H13" s="112"/>
      <c r="I13" s="112">
        <v>100</v>
      </c>
      <c r="J13" s="112">
        <v>2.0699999999999998</v>
      </c>
      <c r="K13" s="112">
        <v>5.6</v>
      </c>
      <c r="L13" s="112">
        <v>10.7</v>
      </c>
      <c r="M13" s="112">
        <v>141</v>
      </c>
      <c r="N13" s="112">
        <v>1000</v>
      </c>
      <c r="O13" s="112">
        <v>300</v>
      </c>
      <c r="P13" s="112">
        <v>75</v>
      </c>
      <c r="Q13" s="112">
        <v>1.5</v>
      </c>
      <c r="R13" s="112">
        <v>8</v>
      </c>
      <c r="S13" s="112">
        <v>100</v>
      </c>
      <c r="T13" s="112">
        <v>160</v>
      </c>
      <c r="U13" s="112">
        <v>63</v>
      </c>
      <c r="V13" s="112">
        <v>0.26</v>
      </c>
      <c r="W13" s="112">
        <v>1100</v>
      </c>
      <c r="X13" s="112">
        <v>16</v>
      </c>
      <c r="Y13" s="112">
        <v>470</v>
      </c>
      <c r="Z13" s="112">
        <v>4.5999999999999996</v>
      </c>
      <c r="AA13" s="112">
        <v>9</v>
      </c>
      <c r="AB13" s="112">
        <v>24</v>
      </c>
      <c r="AC13" s="112">
        <v>4.9000000000000004</v>
      </c>
      <c r="AD13" s="112">
        <v>82</v>
      </c>
      <c r="AE13" s="112">
        <v>44</v>
      </c>
      <c r="AF13" s="112">
        <v>6</v>
      </c>
      <c r="AG13" s="112">
        <v>1.9</v>
      </c>
      <c r="AH13" s="112">
        <v>0.79</v>
      </c>
      <c r="AI13" s="112">
        <v>5</v>
      </c>
      <c r="AJ13" s="112">
        <v>95</v>
      </c>
      <c r="AK13" s="112">
        <v>6</v>
      </c>
      <c r="AL13" s="112">
        <v>2</v>
      </c>
      <c r="AM13" s="112">
        <v>25</v>
      </c>
      <c r="AN13" s="112">
        <v>110</v>
      </c>
      <c r="AO13" s="112">
        <v>68</v>
      </c>
      <c r="AP13" s="1"/>
      <c r="AQ13" s="1"/>
      <c r="AR13" s="1"/>
      <c r="AS13" s="1"/>
    </row>
    <row r="14" spans="1:45" x14ac:dyDescent="0.25">
      <c r="A14" s="2" t="s">
        <v>219</v>
      </c>
      <c r="B14" s="112">
        <v>1000</v>
      </c>
      <c r="C14" s="112" t="s">
        <v>2</v>
      </c>
      <c r="D14" s="112">
        <v>8.6999999999999993</v>
      </c>
      <c r="E14" s="112"/>
      <c r="F14" s="112"/>
      <c r="G14" s="112"/>
      <c r="H14" s="112"/>
      <c r="I14" s="112">
        <v>676</v>
      </c>
      <c r="J14" s="112">
        <v>14</v>
      </c>
      <c r="K14" s="112">
        <v>37.799999999999997</v>
      </c>
      <c r="L14" s="112">
        <v>72.400000000000006</v>
      </c>
      <c r="M14" s="112">
        <v>899</v>
      </c>
      <c r="N14" s="112">
        <v>6757</v>
      </c>
      <c r="O14" s="112">
        <v>2029</v>
      </c>
      <c r="P14" s="112">
        <v>507</v>
      </c>
      <c r="Q14" s="112">
        <v>10.1</v>
      </c>
      <c r="R14" s="112">
        <v>54</v>
      </c>
      <c r="S14" s="112">
        <v>676</v>
      </c>
      <c r="T14" s="112">
        <v>1014</v>
      </c>
      <c r="U14" s="112">
        <v>406</v>
      </c>
      <c r="V14" s="112">
        <v>1.69</v>
      </c>
      <c r="W14" s="112">
        <v>7101</v>
      </c>
      <c r="X14" s="112">
        <v>101</v>
      </c>
      <c r="Y14" s="112">
        <v>3043</v>
      </c>
      <c r="Z14" s="112">
        <v>29.8</v>
      </c>
      <c r="AA14" s="112">
        <v>61</v>
      </c>
      <c r="AB14" s="112">
        <v>108</v>
      </c>
      <c r="AC14" s="112">
        <v>31.8</v>
      </c>
      <c r="AD14" s="112">
        <v>528</v>
      </c>
      <c r="AE14" s="112">
        <v>284</v>
      </c>
      <c r="AF14" s="112">
        <v>41</v>
      </c>
      <c r="AG14" s="112">
        <v>12</v>
      </c>
      <c r="AH14" s="112">
        <v>5.07</v>
      </c>
      <c r="AI14" s="112">
        <v>34</v>
      </c>
      <c r="AJ14" s="112">
        <v>609</v>
      </c>
      <c r="AK14" s="112">
        <v>41</v>
      </c>
      <c r="AL14" s="112">
        <v>14</v>
      </c>
      <c r="AM14" s="112">
        <v>162</v>
      </c>
      <c r="AN14" s="112">
        <v>710</v>
      </c>
      <c r="AO14" s="112">
        <v>440</v>
      </c>
      <c r="AP14" s="1"/>
      <c r="AQ14" s="1"/>
      <c r="AR14" s="1"/>
      <c r="AS14" s="1"/>
    </row>
    <row r="15" spans="1:45" x14ac:dyDescent="0.25">
      <c r="A15" s="2" t="s">
        <v>248</v>
      </c>
      <c r="B15" s="112">
        <v>1000</v>
      </c>
      <c r="C15" s="112" t="s">
        <v>2</v>
      </c>
      <c r="D15" s="112">
        <v>8.3000000000000007</v>
      </c>
      <c r="E15" s="112"/>
      <c r="F15" s="112"/>
      <c r="G15" s="112"/>
      <c r="H15" s="112"/>
      <c r="I15" s="112">
        <v>643</v>
      </c>
      <c r="J15" s="112">
        <v>13.5</v>
      </c>
      <c r="K15" s="112">
        <v>34.729999999999997</v>
      </c>
      <c r="L15" s="112">
        <v>71.400000000000006</v>
      </c>
      <c r="M15" s="112">
        <v>900</v>
      </c>
      <c r="N15" s="112">
        <v>6431</v>
      </c>
      <c r="O15" s="112">
        <v>1929</v>
      </c>
      <c r="P15" s="112">
        <v>386</v>
      </c>
      <c r="Q15" s="112">
        <v>9.6</v>
      </c>
      <c r="R15" s="112">
        <v>51</v>
      </c>
      <c r="S15" s="112">
        <v>643</v>
      </c>
      <c r="T15" s="112">
        <v>1029</v>
      </c>
      <c r="U15" s="112">
        <v>405</v>
      </c>
      <c r="V15" s="112">
        <v>1.67</v>
      </c>
      <c r="W15" s="112">
        <v>7074</v>
      </c>
      <c r="X15" s="112">
        <v>103</v>
      </c>
      <c r="Y15" s="112">
        <v>3023</v>
      </c>
      <c r="Z15" s="112">
        <v>29.6</v>
      </c>
      <c r="AA15" s="112">
        <v>58</v>
      </c>
      <c r="AB15" s="112">
        <v>154</v>
      </c>
      <c r="AC15" s="112">
        <v>28.9</v>
      </c>
      <c r="AD15" s="112">
        <v>566</v>
      </c>
      <c r="AE15" s="112">
        <v>379</v>
      </c>
      <c r="AF15" s="112">
        <v>38.6</v>
      </c>
      <c r="AG15" s="112">
        <v>12.2</v>
      </c>
      <c r="AH15" s="112">
        <v>5.08</v>
      </c>
      <c r="AI15" s="112">
        <v>32</v>
      </c>
      <c r="AJ15" s="112">
        <v>611</v>
      </c>
      <c r="AK15" s="112">
        <v>58</v>
      </c>
      <c r="AL15" s="112">
        <v>13</v>
      </c>
      <c r="AM15" s="112">
        <v>206</v>
      </c>
      <c r="AN15" s="112">
        <v>707</v>
      </c>
      <c r="AO15" s="112">
        <v>437</v>
      </c>
      <c r="AP15" s="1"/>
      <c r="AQ15" s="1"/>
      <c r="AR15" s="1"/>
      <c r="AS15" s="1"/>
    </row>
    <row r="16" spans="1:45" x14ac:dyDescent="0.25">
      <c r="A16" s="2" t="s">
        <v>249</v>
      </c>
      <c r="B16" s="112">
        <v>1000</v>
      </c>
      <c r="C16" s="112" t="s">
        <v>2</v>
      </c>
      <c r="D16" s="112" t="s">
        <v>244</v>
      </c>
      <c r="E16" s="112"/>
      <c r="F16" s="112"/>
      <c r="G16" s="112"/>
      <c r="H16" s="112"/>
      <c r="I16" s="112">
        <v>676</v>
      </c>
      <c r="J16" s="112">
        <v>14.47</v>
      </c>
      <c r="K16" s="112">
        <v>36.520000000000003</v>
      </c>
      <c r="L16" s="112">
        <v>75.099999999999994</v>
      </c>
      <c r="M16" s="112">
        <v>899</v>
      </c>
      <c r="N16" s="112">
        <v>6763</v>
      </c>
      <c r="O16" s="112">
        <v>2029</v>
      </c>
      <c r="P16" s="112">
        <v>406</v>
      </c>
      <c r="Q16" s="112">
        <v>20.3</v>
      </c>
      <c r="R16" s="112">
        <v>54</v>
      </c>
      <c r="S16" s="112">
        <v>676</v>
      </c>
      <c r="T16" s="112">
        <v>1014</v>
      </c>
      <c r="U16" s="112">
        <v>406</v>
      </c>
      <c r="V16" s="112">
        <v>1.69</v>
      </c>
      <c r="W16" s="112">
        <v>7101</v>
      </c>
      <c r="X16" s="112">
        <v>101</v>
      </c>
      <c r="Y16" s="112">
        <v>3043</v>
      </c>
      <c r="Z16" s="112">
        <v>29.8</v>
      </c>
      <c r="AA16" s="112">
        <v>61</v>
      </c>
      <c r="AB16" s="112">
        <v>108</v>
      </c>
      <c r="AC16" s="112">
        <v>29.1</v>
      </c>
      <c r="AD16" s="112">
        <v>568</v>
      </c>
      <c r="AE16" s="112">
        <v>379</v>
      </c>
      <c r="AF16" s="112">
        <v>40.6</v>
      </c>
      <c r="AG16" s="112">
        <v>12.2</v>
      </c>
      <c r="AH16" s="112">
        <v>5.07</v>
      </c>
      <c r="AI16" s="112">
        <v>34</v>
      </c>
      <c r="AJ16" s="112">
        <v>609</v>
      </c>
      <c r="AK16" s="112">
        <v>61</v>
      </c>
      <c r="AL16" s="112">
        <v>14</v>
      </c>
      <c r="AM16" s="112">
        <v>203</v>
      </c>
      <c r="AN16" s="112">
        <v>724</v>
      </c>
      <c r="AO16" s="112">
        <v>440</v>
      </c>
      <c r="AP16" s="1"/>
      <c r="AQ16" s="1"/>
      <c r="AR16" s="1"/>
      <c r="AS16" s="1"/>
    </row>
    <row r="17" spans="1:45" x14ac:dyDescent="0.25">
      <c r="A17" s="2" t="s">
        <v>233</v>
      </c>
      <c r="B17" s="112">
        <v>1000</v>
      </c>
      <c r="C17" s="112" t="s">
        <v>2</v>
      </c>
      <c r="D17" s="112" t="s">
        <v>244</v>
      </c>
      <c r="E17" s="112" t="s">
        <v>244</v>
      </c>
      <c r="F17" s="112" t="s">
        <v>244</v>
      </c>
      <c r="G17" s="112"/>
      <c r="H17" s="112"/>
      <c r="I17" s="112">
        <v>812</v>
      </c>
      <c r="J17" s="112">
        <v>24.34</v>
      </c>
      <c r="K17" s="112">
        <v>44.07</v>
      </c>
      <c r="L17" s="112">
        <v>83.6</v>
      </c>
      <c r="M17" s="112">
        <v>885</v>
      </c>
      <c r="N17" s="112">
        <v>5681</v>
      </c>
      <c r="O17" s="112">
        <v>10144</v>
      </c>
      <c r="P17" s="112">
        <v>1217</v>
      </c>
      <c r="Q17" s="112">
        <v>32.5</v>
      </c>
      <c r="R17" s="112">
        <v>97.4</v>
      </c>
      <c r="S17" s="112">
        <v>2029</v>
      </c>
      <c r="T17" s="112">
        <v>5032</v>
      </c>
      <c r="U17" s="112">
        <v>2029</v>
      </c>
      <c r="V17" s="112">
        <v>4.46</v>
      </c>
      <c r="W17" s="112">
        <v>40578</v>
      </c>
      <c r="X17" s="112">
        <v>300</v>
      </c>
      <c r="Y17" s="112">
        <v>15419</v>
      </c>
      <c r="Z17" s="112">
        <v>300</v>
      </c>
      <c r="AA17" s="112">
        <v>300</v>
      </c>
      <c r="AB17" s="112">
        <v>81</v>
      </c>
      <c r="AC17" s="112">
        <v>325</v>
      </c>
      <c r="AD17" s="112">
        <v>1461</v>
      </c>
      <c r="AE17" s="112">
        <v>812</v>
      </c>
      <c r="AF17" s="112">
        <v>97.4</v>
      </c>
      <c r="AG17" s="112">
        <v>14.6</v>
      </c>
      <c r="AH17" s="112">
        <v>12.17</v>
      </c>
      <c r="AI17" s="112">
        <v>97</v>
      </c>
      <c r="AJ17" s="112">
        <v>2029</v>
      </c>
      <c r="AK17" s="112">
        <v>49</v>
      </c>
      <c r="AL17" s="112">
        <v>16</v>
      </c>
      <c r="AM17" s="112">
        <v>349</v>
      </c>
      <c r="AN17" s="112">
        <v>1047</v>
      </c>
      <c r="AO17" s="112">
        <v>657</v>
      </c>
      <c r="AP17" s="1"/>
      <c r="AQ17" s="1"/>
      <c r="AR17" s="1"/>
      <c r="AS17" s="1"/>
    </row>
    <row r="20" spans="1:45" x14ac:dyDescent="0.25">
      <c r="J20" t="s">
        <v>0</v>
      </c>
      <c r="K20" s="1" t="s">
        <v>95</v>
      </c>
      <c r="L20" s="1" t="s">
        <v>96</v>
      </c>
      <c r="M20" s="1" t="s">
        <v>3</v>
      </c>
      <c r="N20" s="1" t="s">
        <v>8</v>
      </c>
      <c r="O20" s="1" t="s">
        <v>97</v>
      </c>
      <c r="P20" s="1" t="s">
        <v>98</v>
      </c>
    </row>
    <row r="21" spans="1:45" x14ac:dyDescent="0.25">
      <c r="J21" t="s">
        <v>99</v>
      </c>
      <c r="K21" s="1">
        <v>8.6999999999999993</v>
      </c>
      <c r="L21" s="1">
        <v>20</v>
      </c>
      <c r="M21" s="1">
        <v>5.0999999999999996</v>
      </c>
      <c r="N21" s="1">
        <v>0.14000000000000001</v>
      </c>
      <c r="O21" s="1">
        <v>54</v>
      </c>
      <c r="P21" s="1">
        <v>48</v>
      </c>
    </row>
    <row r="22" spans="1:45" x14ac:dyDescent="0.25">
      <c r="J22" t="s">
        <v>100</v>
      </c>
      <c r="K22" s="1">
        <v>9.4</v>
      </c>
      <c r="L22" s="1">
        <v>20</v>
      </c>
      <c r="M22" s="1">
        <v>4.8</v>
      </c>
      <c r="N22" s="1">
        <v>0.15</v>
      </c>
      <c r="O22" s="1">
        <v>54</v>
      </c>
      <c r="P22" s="1">
        <v>48</v>
      </c>
    </row>
    <row r="23" spans="1:45" x14ac:dyDescent="0.25">
      <c r="J23" t="s">
        <v>101</v>
      </c>
      <c r="K23" s="1">
        <v>9.8000000000000007</v>
      </c>
      <c r="L23" s="1">
        <v>22</v>
      </c>
      <c r="M23" s="1">
        <v>4.9000000000000004</v>
      </c>
      <c r="N23" s="1">
        <v>0.14000000000000001</v>
      </c>
      <c r="O23" s="1"/>
      <c r="P23" s="1"/>
    </row>
    <row r="24" spans="1:45" x14ac:dyDescent="0.25">
      <c r="J24" t="s">
        <v>102</v>
      </c>
      <c r="K24" s="1">
        <v>8.8000000000000007</v>
      </c>
      <c r="L24" s="1">
        <v>20</v>
      </c>
      <c r="M24" s="1">
        <v>5</v>
      </c>
      <c r="N24" s="1">
        <v>0.11</v>
      </c>
      <c r="O24" s="1">
        <v>52</v>
      </c>
      <c r="P24" s="1">
        <v>47</v>
      </c>
    </row>
    <row r="25" spans="1:45" x14ac:dyDescent="0.25">
      <c r="J25" t="s">
        <v>103</v>
      </c>
      <c r="K25" s="1">
        <v>8.8000000000000007</v>
      </c>
      <c r="L25" s="1">
        <v>20</v>
      </c>
      <c r="M25" s="1">
        <v>5</v>
      </c>
      <c r="N25" s="1">
        <v>0.12</v>
      </c>
      <c r="O25" s="1">
        <v>52</v>
      </c>
      <c r="P25" s="1">
        <v>49</v>
      </c>
    </row>
    <row r="26" spans="1:45" x14ac:dyDescent="0.25">
      <c r="J26" t="s">
        <v>104</v>
      </c>
      <c r="K26" s="1">
        <v>8.6999999999999993</v>
      </c>
      <c r="L26" s="1">
        <v>20</v>
      </c>
      <c r="M26" s="1">
        <v>5.0999999999999996</v>
      </c>
      <c r="N26" s="1">
        <v>0.12</v>
      </c>
      <c r="O26" s="1"/>
      <c r="P26" s="1"/>
    </row>
    <row r="27" spans="1:45" x14ac:dyDescent="0.25">
      <c r="J27" t="s">
        <v>105</v>
      </c>
      <c r="K27" s="1">
        <v>8.6999999999999993</v>
      </c>
      <c r="L27" s="1">
        <v>20</v>
      </c>
      <c r="M27" s="1">
        <v>5.0999999999999996</v>
      </c>
      <c r="N27" s="1">
        <v>0.13</v>
      </c>
      <c r="O27" s="1">
        <v>54</v>
      </c>
      <c r="P27" s="1">
        <v>48</v>
      </c>
    </row>
    <row r="28" spans="1:45" x14ac:dyDescent="0.25">
      <c r="J28" t="s">
        <v>78</v>
      </c>
      <c r="K28" s="1">
        <v>9.6</v>
      </c>
      <c r="L28" s="1">
        <v>22</v>
      </c>
      <c r="M28" s="1">
        <v>5.0999999999999996</v>
      </c>
      <c r="N28" s="1">
        <v>0.14000000000000001</v>
      </c>
      <c r="O28" s="1">
        <v>60</v>
      </c>
      <c r="P28" s="1">
        <v>54</v>
      </c>
    </row>
    <row r="29" spans="1:45" x14ac:dyDescent="0.25">
      <c r="J29" t="s">
        <v>106</v>
      </c>
      <c r="K29" s="1">
        <v>9</v>
      </c>
      <c r="L29" s="1">
        <v>20</v>
      </c>
      <c r="M29" s="1">
        <v>5</v>
      </c>
      <c r="N29" s="1">
        <v>0.14000000000000001</v>
      </c>
      <c r="O29" s="1">
        <v>52</v>
      </c>
      <c r="P29" s="1">
        <v>47</v>
      </c>
    </row>
    <row r="30" spans="1:45" x14ac:dyDescent="0.25">
      <c r="J30" t="s">
        <v>107</v>
      </c>
      <c r="K30" s="1">
        <v>4.5</v>
      </c>
      <c r="L30" s="1"/>
      <c r="M30" s="1">
        <v>5.0999999999999996</v>
      </c>
      <c r="N30" s="1">
        <v>0.14000000000000001</v>
      </c>
      <c r="O30" s="1"/>
      <c r="P30" s="1"/>
    </row>
    <row r="31" spans="1:45" x14ac:dyDescent="0.25">
      <c r="A31" t="s">
        <v>255</v>
      </c>
      <c r="J31" t="s">
        <v>108</v>
      </c>
      <c r="K31" s="1">
        <v>9.4</v>
      </c>
      <c r="L31" s="1"/>
      <c r="M31" s="1">
        <v>4.7</v>
      </c>
      <c r="N31" s="1">
        <v>0.14000000000000001</v>
      </c>
      <c r="O31" s="1"/>
      <c r="P31" s="1"/>
    </row>
    <row r="32" spans="1:45" x14ac:dyDescent="0.25">
      <c r="A32" t="s">
        <v>271</v>
      </c>
      <c r="J32" t="s">
        <v>109</v>
      </c>
      <c r="K32" s="1">
        <v>8.9</v>
      </c>
      <c r="L32" s="1">
        <v>20</v>
      </c>
      <c r="M32" s="1">
        <v>5</v>
      </c>
      <c r="N32" s="1">
        <v>0.14000000000000001</v>
      </c>
      <c r="O32" s="1">
        <v>54</v>
      </c>
      <c r="P32" s="1">
        <v>48</v>
      </c>
    </row>
    <row r="33" spans="10:16" x14ac:dyDescent="0.25">
      <c r="J33" t="s">
        <v>110</v>
      </c>
      <c r="K33" s="1">
        <v>8.9</v>
      </c>
      <c r="L33" s="1"/>
      <c r="M33" s="1">
        <v>5</v>
      </c>
      <c r="N33" s="1">
        <v>0.13</v>
      </c>
      <c r="O33" s="1">
        <v>52</v>
      </c>
      <c r="P33" s="1">
        <v>47</v>
      </c>
    </row>
    <row r="34" spans="10:16" x14ac:dyDescent="0.25">
      <c r="J34" t="s">
        <v>221</v>
      </c>
      <c r="K34" s="1">
        <v>8.3000000000000007</v>
      </c>
      <c r="L34" s="1">
        <v>19</v>
      </c>
      <c r="M34" s="1"/>
      <c r="N34" s="1"/>
      <c r="O34" s="1"/>
      <c r="P34" s="1"/>
    </row>
    <row r="35" spans="10:16" x14ac:dyDescent="0.25">
      <c r="J35" t="s">
        <v>219</v>
      </c>
      <c r="K35" s="1">
        <v>8.6999999999999993</v>
      </c>
      <c r="L35" s="1">
        <v>20</v>
      </c>
      <c r="M35" s="1"/>
      <c r="N35" s="1"/>
      <c r="O35" s="1"/>
      <c r="P35" s="1"/>
    </row>
    <row r="36" spans="10:16" x14ac:dyDescent="0.25">
      <c r="J36" t="s">
        <v>111</v>
      </c>
      <c r="K36" s="1">
        <v>8.6999999999999993</v>
      </c>
      <c r="L36" s="1"/>
      <c r="M36" s="1">
        <v>5.0999999999999996</v>
      </c>
      <c r="N36" s="1">
        <v>0.11</v>
      </c>
      <c r="O36" s="1"/>
      <c r="P36" s="1"/>
    </row>
    <row r="37" spans="10:16" x14ac:dyDescent="0.25">
      <c r="J37" t="s">
        <v>112</v>
      </c>
      <c r="K37" s="1"/>
      <c r="L37" s="1">
        <v>20</v>
      </c>
      <c r="M37" s="1"/>
      <c r="N37" s="1"/>
      <c r="O37" s="1"/>
      <c r="P37" s="1"/>
    </row>
    <row r="38" spans="10:16" x14ac:dyDescent="0.25">
      <c r="J38" t="s">
        <v>113</v>
      </c>
      <c r="K38" s="1">
        <v>8.6999999999999993</v>
      </c>
      <c r="L38" s="1"/>
      <c r="M38" s="1">
        <v>5.0999999999999996</v>
      </c>
      <c r="N38" s="1">
        <v>0.11</v>
      </c>
      <c r="O38" s="1"/>
      <c r="P38" s="1"/>
    </row>
    <row r="39" spans="10:16" x14ac:dyDescent="0.25">
      <c r="J39" t="s">
        <v>114</v>
      </c>
      <c r="K39" s="1">
        <v>8.6999999999999993</v>
      </c>
      <c r="L39" s="1">
        <v>19</v>
      </c>
      <c r="M39" s="1">
        <v>5.0999999999999996</v>
      </c>
      <c r="N39" s="1">
        <v>0.11</v>
      </c>
      <c r="O39" s="1"/>
      <c r="P39" s="1"/>
    </row>
    <row r="40" spans="10:16" x14ac:dyDescent="0.25">
      <c r="J40" t="s">
        <v>115</v>
      </c>
      <c r="K40" s="1">
        <v>8.6999999999999993</v>
      </c>
      <c r="L40" s="1"/>
      <c r="M40" s="1">
        <v>5.0999999999999996</v>
      </c>
      <c r="N40" s="1">
        <v>0.11</v>
      </c>
      <c r="O40" s="1"/>
      <c r="P40" s="1"/>
    </row>
    <row r="41" spans="10:16" x14ac:dyDescent="0.25">
      <c r="J41" t="s">
        <v>116</v>
      </c>
      <c r="K41" s="1"/>
      <c r="L41" s="1">
        <v>20</v>
      </c>
      <c r="M41" s="1"/>
      <c r="N41" s="1"/>
      <c r="O41" s="1">
        <v>55</v>
      </c>
      <c r="P41" s="1">
        <v>49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17"/>
  <sheetViews>
    <sheetView workbookViewId="0">
      <selection activeCell="C3" sqref="C3"/>
    </sheetView>
  </sheetViews>
  <sheetFormatPr defaultRowHeight="15" x14ac:dyDescent="0.25"/>
  <cols>
    <col min="1" max="1" width="18" bestFit="1" customWidth="1"/>
    <col min="2" max="2" width="10.140625" customWidth="1"/>
    <col min="3" max="3" width="9.85546875" customWidth="1"/>
    <col min="4" max="4" width="5.7109375" customWidth="1"/>
    <col min="5" max="5" width="7.140625" customWidth="1"/>
    <col min="6" max="6" width="8.42578125" customWidth="1"/>
    <col min="7" max="7" width="13.85546875" bestFit="1" customWidth="1"/>
    <col min="8" max="9" width="7.28515625" customWidth="1"/>
    <col min="10" max="10" width="7" customWidth="1"/>
    <col min="11" max="11" width="7.140625" customWidth="1"/>
    <col min="12" max="12" width="10.140625" bestFit="1" customWidth="1"/>
    <col min="13" max="13" width="11.85546875" customWidth="1"/>
    <col min="14" max="14" width="8.140625" customWidth="1"/>
    <col min="16" max="16" width="8.5703125" customWidth="1"/>
    <col min="17" max="17" width="11.140625" bestFit="1" customWidth="1"/>
    <col min="18" max="18" width="18.140625" customWidth="1"/>
    <col min="19" max="19" width="8.5703125" customWidth="1"/>
    <col min="20" max="20" width="7.140625" customWidth="1"/>
    <col min="21" max="21" width="9.85546875" bestFit="1" customWidth="1"/>
    <col min="22" max="23" width="10" customWidth="1"/>
    <col min="24" max="24" width="13.7109375" customWidth="1"/>
    <col min="25" max="25" width="13.5703125" customWidth="1"/>
    <col min="26" max="26" width="6.85546875" customWidth="1"/>
    <col min="27" max="27" width="6.7109375" customWidth="1"/>
    <col min="28" max="28" width="13.42578125" bestFit="1" customWidth="1"/>
    <col min="29" max="29" width="9.42578125" customWidth="1"/>
    <col min="30" max="30" width="9" customWidth="1"/>
    <col min="31" max="31" width="11.5703125" bestFit="1" customWidth="1"/>
    <col min="32" max="32" width="9.85546875" customWidth="1"/>
    <col min="33" max="33" width="12.42578125" customWidth="1"/>
    <col min="34" max="34" width="10.5703125" customWidth="1"/>
    <col min="35" max="35" width="10.42578125" customWidth="1"/>
  </cols>
  <sheetData>
    <row r="1" spans="1:38" x14ac:dyDescent="0.25">
      <c r="A1" s="110" t="s">
        <v>257</v>
      </c>
      <c r="B1" s="70" t="s">
        <v>3</v>
      </c>
      <c r="C1" s="70" t="s">
        <v>4</v>
      </c>
      <c r="D1" s="70" t="s">
        <v>4</v>
      </c>
      <c r="E1" s="70" t="s">
        <v>4</v>
      </c>
      <c r="F1" s="70" t="s">
        <v>4</v>
      </c>
      <c r="G1" s="70" t="s">
        <v>11</v>
      </c>
      <c r="H1" s="70" t="s">
        <v>13</v>
      </c>
      <c r="I1" s="70" t="s">
        <v>13</v>
      </c>
      <c r="J1" s="70" t="s">
        <v>13</v>
      </c>
      <c r="K1" s="70" t="s">
        <v>17</v>
      </c>
      <c r="L1" s="70" t="s">
        <v>17</v>
      </c>
      <c r="M1" s="70" t="s">
        <v>17</v>
      </c>
      <c r="N1" s="70" t="s">
        <v>17</v>
      </c>
      <c r="O1" s="70" t="s">
        <v>17</v>
      </c>
      <c r="P1" s="70" t="s">
        <v>17</v>
      </c>
      <c r="Q1" s="70" t="s">
        <v>17</v>
      </c>
      <c r="R1" s="70" t="s">
        <v>17</v>
      </c>
      <c r="S1" s="70" t="s">
        <v>17</v>
      </c>
      <c r="T1" s="70" t="s">
        <v>11</v>
      </c>
      <c r="U1" s="70" t="s">
        <v>11</v>
      </c>
      <c r="V1" s="70" t="s">
        <v>11</v>
      </c>
      <c r="W1" s="70" t="s">
        <v>11</v>
      </c>
      <c r="X1" s="70" t="s">
        <v>11</v>
      </c>
      <c r="Y1" s="70" t="s">
        <v>11</v>
      </c>
      <c r="Z1" s="70" t="s">
        <v>11</v>
      </c>
      <c r="AA1" s="70" t="s">
        <v>11</v>
      </c>
      <c r="AB1" s="70" t="s">
        <v>17</v>
      </c>
      <c r="AC1" s="70" t="s">
        <v>17</v>
      </c>
      <c r="AD1" s="70" t="s">
        <v>17</v>
      </c>
      <c r="AE1" s="70" t="s">
        <v>17</v>
      </c>
      <c r="AF1" s="70" t="s">
        <v>11</v>
      </c>
      <c r="AG1" s="70" t="s">
        <v>11</v>
      </c>
      <c r="AH1" s="70" t="s">
        <v>11</v>
      </c>
      <c r="AI1" s="70" t="s">
        <v>17</v>
      </c>
      <c r="AJ1" s="70" t="s">
        <v>17</v>
      </c>
      <c r="AK1" s="109" t="s">
        <v>11</v>
      </c>
      <c r="AL1" s="109" t="s">
        <v>11</v>
      </c>
    </row>
    <row r="2" spans="1:38" x14ac:dyDescent="0.25">
      <c r="A2" t="s">
        <v>0</v>
      </c>
      <c r="B2" t="s">
        <v>9</v>
      </c>
      <c r="C2" t="s">
        <v>8</v>
      </c>
      <c r="D2" t="s">
        <v>7</v>
      </c>
      <c r="E2" t="s">
        <v>5</v>
      </c>
      <c r="F2" t="s">
        <v>6</v>
      </c>
      <c r="G2" t="s">
        <v>10</v>
      </c>
      <c r="H2" t="s">
        <v>12</v>
      </c>
      <c r="I2" t="s">
        <v>14</v>
      </c>
      <c r="J2" t="s">
        <v>15</v>
      </c>
      <c r="K2" t="s">
        <v>16</v>
      </c>
      <c r="L2" t="s">
        <v>18</v>
      </c>
      <c r="M2" t="s">
        <v>19</v>
      </c>
      <c r="N2" t="s">
        <v>20</v>
      </c>
      <c r="O2" t="s">
        <v>21</v>
      </c>
      <c r="P2" t="s">
        <v>22</v>
      </c>
      <c r="Q2" t="s">
        <v>23</v>
      </c>
      <c r="R2" t="s">
        <v>24</v>
      </c>
      <c r="S2" t="s">
        <v>25</v>
      </c>
      <c r="T2" t="s">
        <v>26</v>
      </c>
      <c r="U2" t="s">
        <v>27</v>
      </c>
      <c r="V2" t="s">
        <v>28</v>
      </c>
      <c r="W2" t="s">
        <v>29</v>
      </c>
      <c r="X2" t="s">
        <v>30</v>
      </c>
      <c r="Y2" t="s">
        <v>31</v>
      </c>
      <c r="Z2" t="s">
        <v>32</v>
      </c>
      <c r="AA2" t="s">
        <v>33</v>
      </c>
      <c r="AB2" t="s">
        <v>34</v>
      </c>
      <c r="AC2" t="s">
        <v>35</v>
      </c>
      <c r="AD2" t="s">
        <v>36</v>
      </c>
      <c r="AE2" t="s">
        <v>37</v>
      </c>
      <c r="AF2" t="s">
        <v>38</v>
      </c>
      <c r="AG2" t="s">
        <v>39</v>
      </c>
      <c r="AH2" t="s">
        <v>40</v>
      </c>
      <c r="AI2" s="1" t="s">
        <v>185</v>
      </c>
      <c r="AJ2" s="1" t="s">
        <v>186</v>
      </c>
      <c r="AK2" s="1" t="s">
        <v>252</v>
      </c>
      <c r="AL2" s="1" t="s">
        <v>253</v>
      </c>
    </row>
    <row r="3" spans="1:38" x14ac:dyDescent="0.25">
      <c r="A3" t="s">
        <v>99</v>
      </c>
      <c r="B3" s="95">
        <f>GetNormed(tblNormula[[#This Row],[Formula]],"calories")</f>
        <v>0.67600000000000005</v>
      </c>
      <c r="C3" s="95">
        <f>GetNormed(tblNormula[[#This Row],[Formula]],"protein")</f>
        <v>1.8600000000000002E-2</v>
      </c>
      <c r="D3" s="95">
        <f>GetNormed(tblNormula[[#This Row],[Formula]],"fat")</f>
        <v>3.7469999999999996E-2</v>
      </c>
      <c r="E3" s="95">
        <f>GetNormed(tblNormula[[#This Row],[Formula]],"CHO")</f>
        <v>6.9000000000000006E-2</v>
      </c>
      <c r="F3" s="95">
        <f>GetNormed(tblNormula[[#This Row],[Formula]],"water")</f>
        <v>0.89900000000000002</v>
      </c>
      <c r="G3" s="95">
        <f>GetNormed(tblNormula[[#This Row],[Formula]],"linoleic acid")</f>
        <v>5.4080000000000004</v>
      </c>
      <c r="H3" s="95">
        <f>GetNormed(tblNormula[[#This Row],[Formula]],"vit A")</f>
        <v>2.0289999999999999</v>
      </c>
      <c r="I3" s="95">
        <f>GetNormed(tblNormula[[#This Row],[Formula]],"vit D")</f>
        <v>0.40600000000000003</v>
      </c>
      <c r="J3" s="95">
        <f>GetNormed(tblNormula[[#This Row],[Formula]],"vit E")</f>
        <v>2.0300000000000002E-2</v>
      </c>
      <c r="K3" s="95">
        <f>GetNormed(tblNormula[[#This Row],[Formula]],"vit K")</f>
        <v>5.4079999999999996E-2</v>
      </c>
      <c r="L3" s="95">
        <f>GetNormed(tblNormula[[#This Row],[Formula]],"thiamin")</f>
        <v>0.40600000000000003</v>
      </c>
      <c r="M3" s="95">
        <f>GetNormed(tblNormula[[#This Row],[Formula]],"riboflavin")</f>
        <v>0.60899999999999999</v>
      </c>
      <c r="N3" s="95">
        <f>GetNormed(tblNormula[[#This Row],[Formula]],"vit B6")</f>
        <v>0.40600000000000003</v>
      </c>
      <c r="O3" s="95">
        <f>GetNormed(tblNormula[[#This Row],[Formula]],"vit B12")</f>
        <v>3.0400000000000002E-3</v>
      </c>
      <c r="P3" s="95">
        <f>GetNormed(tblNormula[[#This Row],[Formula]],"niacin")</f>
        <v>9.1300000000000008</v>
      </c>
      <c r="Q3" s="95">
        <f>GetNormed(tblNormula[[#This Row],[Formula]],"folic acid")</f>
        <v>0.10100000000000001</v>
      </c>
      <c r="R3" s="95">
        <f>GetNormed(tblNormula[[#This Row],[Formula]],"pantothenic acid")</f>
        <v>5.0720000000000001</v>
      </c>
      <c r="S3" s="95">
        <f>GetNormed(tblNormula[[#This Row],[Formula]],"biotin")</f>
        <v>3.04E-2</v>
      </c>
      <c r="T3" s="95">
        <f>GetNormed(tblNormula[[#This Row],[Formula]],"vit C")</f>
        <v>6.0999999999999999E-2</v>
      </c>
      <c r="U3" s="95">
        <f>GetNormed(tblNormula[[#This Row],[Formula]],"choline")</f>
        <v>8.1000000000000003E-2</v>
      </c>
      <c r="V3" s="95">
        <f>GetNormed(tblNormula[[#This Row],[Formula]],"inositol")</f>
        <v>3.3799999999999997E-2</v>
      </c>
      <c r="W3" s="95">
        <f>GetNormed(tblNormula[[#This Row],[Formula]],"calcium")</f>
        <v>0.71</v>
      </c>
      <c r="X3" s="95">
        <f>GetNormed(tblNormula[[#This Row],[Formula]],"phosphorus")</f>
        <v>0.50700000000000001</v>
      </c>
      <c r="Y3" s="95">
        <f>GetNormed(tblNormula[[#This Row],[Formula]],"magnesium")</f>
        <v>5.0700000000000002E-2</v>
      </c>
      <c r="Z3" s="95">
        <f>GetNormed(tblNormula[[#This Row],[Formula]],"iron")</f>
        <v>1.217E-2</v>
      </c>
      <c r="AA3" s="95">
        <f>GetNormed(tblNormula[[#This Row],[Formula]],"zinc")</f>
        <v>5.0699999999999999E-3</v>
      </c>
      <c r="AB3" s="95">
        <f>GetNormed(tblNormula[[#This Row],[Formula]],"manganese")</f>
        <v>5.3999999999999999E-2</v>
      </c>
      <c r="AC3" s="95">
        <f>GetNormed(tblNormula[[#This Row],[Formula]],"copper")</f>
        <v>0.50700000000000001</v>
      </c>
      <c r="AD3" s="95">
        <f>GetNormed(tblNormula[[#This Row],[Formula]],"iodine")</f>
        <v>0.10100000000000001</v>
      </c>
      <c r="AE3" s="95">
        <f>GetNormed(tblNormula[[#This Row],[Formula]],"selenium")</f>
        <v>1.3519999999999999E-2</v>
      </c>
      <c r="AF3" s="95">
        <f>GetNormed(tblNormula[[#This Row],[Formula]],"sodium")</f>
        <v>0.29799999999999999</v>
      </c>
      <c r="AG3" s="95">
        <f>GetNormed(tblNormula[[#This Row],[Formula]],"potassium")</f>
        <v>0.79800000000000004</v>
      </c>
      <c r="AH3" s="95">
        <f>GetNormed(tblNormula[[#This Row],[Formula]],"chloride")</f>
        <v>0.54100000000000004</v>
      </c>
      <c r="AI3" s="95">
        <f>GetNormed(tblNormula[[#This Row],[Formula]],"molybdenum")</f>
        <v>0</v>
      </c>
      <c r="AJ3" s="95">
        <f>GetNormed(tblNormula[[#This Row],[Formula]],"chromium")</f>
        <v>0</v>
      </c>
      <c r="AK3" s="95">
        <f>GetNormed(tblNormula[[#This Row],[Formula]],"carnitine")</f>
        <v>0</v>
      </c>
      <c r="AL3" s="95">
        <f>GetNormed(tblNormula[[#This Row],[Formula]],"taurine")</f>
        <v>0</v>
      </c>
    </row>
    <row r="4" spans="1:38" x14ac:dyDescent="0.25">
      <c r="A4" t="s">
        <v>100</v>
      </c>
      <c r="B4" s="95">
        <f>GetNormed(tblNormula[[#This Row],[Formula]],"calories")</f>
        <v>0.67628045403685999</v>
      </c>
      <c r="C4" s="95">
        <f>GetNormed(tblNormula[[#This Row],[Formula]],"protein")</f>
        <v>2.0964694075142658E-2</v>
      </c>
      <c r="D4" s="95">
        <f>GetNormed(tblNormula[[#This Row],[Formula]],"fat")</f>
        <v>3.2461461793769276E-2</v>
      </c>
      <c r="E4" s="95">
        <f>GetNormed(tblNormula[[#This Row],[Formula]],"CHO")</f>
        <v>7.2362008581944012E-2</v>
      </c>
      <c r="F4" s="95">
        <f>GetNormed(tblNormula[[#This Row],[Formula]],"water")</f>
        <v>0.89269019932865512</v>
      </c>
      <c r="G4" s="95">
        <f>GetNormed(tblNormula[[#This Row],[Formula]],"linoleic acid")</f>
        <v>5.6807558139096237</v>
      </c>
      <c r="H4" s="95">
        <f>GetNormed(tblNormula[[#This Row],[Formula]],"vit A")</f>
        <v>1.8462456395206277</v>
      </c>
      <c r="I4" s="95">
        <f>GetNormed(tblNormula[[#This Row],[Formula]],"vit D")</f>
        <v>0.40576827242211599</v>
      </c>
      <c r="J4" s="95">
        <f>GetNormed(tblNormula[[#This Row],[Formula]],"vit E")</f>
        <v>1.4201889534774061E-2</v>
      </c>
      <c r="K4" s="95">
        <f>GetNormed(tblNormula[[#This Row],[Formula]],"vit K")</f>
        <v>8.7916459024791796E-2</v>
      </c>
      <c r="L4" s="95">
        <f>GetNormed(tblNormula[[#This Row],[Formula]],"thiamin")</f>
        <v>1.4201889534774059</v>
      </c>
      <c r="M4" s="95">
        <f>GetNormed(tblNormula[[#This Row],[Formula]],"riboflavin")</f>
        <v>0.71009447673870296</v>
      </c>
      <c r="N4" s="95">
        <f>GetNormed(tblNormula[[#This Row],[Formula]],"vit B6")</f>
        <v>0.56942814229903616</v>
      </c>
      <c r="O4" s="95">
        <f>GetNormed(tblNormula[[#This Row],[Formula]],"vit B12")</f>
        <v>2.70512181614744E-3</v>
      </c>
      <c r="P4" s="95">
        <f>GetNormed(tblNormula[[#This Row],[Formula]],"niacin")</f>
        <v>11.361511627819247</v>
      </c>
      <c r="Q4" s="95">
        <f>GetNormed(tblNormula[[#This Row],[Formula]],"folic acid")</f>
        <v>0.1995027339408737</v>
      </c>
      <c r="R4" s="95">
        <f>GetNormed(tblNormula[[#This Row],[Formula]],"pantothenic acid")</f>
        <v>2.8471407114951806</v>
      </c>
      <c r="S4" s="95">
        <f>GetNormed(tblNormula[[#This Row],[Formula]],"biotin")</f>
        <v>2.8403779069548121E-2</v>
      </c>
      <c r="T4" s="95">
        <f>GetNormed(tblNormula[[#This Row],[Formula]],"vit C")</f>
        <v>6.0865240863317398E-2</v>
      </c>
      <c r="U4" s="95">
        <f>GetNormed(tblNormula[[#This Row],[Formula]],"choline")</f>
        <v>0.101442068105529</v>
      </c>
      <c r="V4" s="95">
        <f>GetNormed(tblNormula[[#This Row],[Formula]],"inositol")</f>
        <v>3.4490303155879858E-2</v>
      </c>
      <c r="W4" s="95">
        <f>GetNormed(tblNormula[[#This Row],[Formula]],"calcium")</f>
        <v>0.7844853266827575</v>
      </c>
      <c r="X4" s="95">
        <f>GetNormed(tblNormula[[#This Row],[Formula]],"phosphorus")</f>
        <v>0.56942814229903616</v>
      </c>
      <c r="Y4" s="95">
        <f>GetNormed(tblNormula[[#This Row],[Formula]],"magnesium")</f>
        <v>5.6807558139096243E-2</v>
      </c>
      <c r="Z4" s="95">
        <f>GetNormed(tblNormula[[#This Row],[Formula]],"iron")</f>
        <v>1.217304817266348E-2</v>
      </c>
      <c r="AA4" s="95">
        <f>GetNormed(tblNormula[[#This Row],[Formula]],"zinc")</f>
        <v>7.7772252214238892E-3</v>
      </c>
      <c r="AB4" s="95">
        <f>GetNormed(tblNormula[[#This Row],[Formula]],"manganese")</f>
        <v>0.56807558139096237</v>
      </c>
      <c r="AC4" s="95">
        <f>GetNormed(tblNormula[[#This Row],[Formula]],"copper")</f>
        <v>0.85211337208644355</v>
      </c>
      <c r="AD4" s="95">
        <f>GetNormed(tblNormula[[#This Row],[Formula]],"iodine")</f>
        <v>6.018896040928054E-2</v>
      </c>
      <c r="AE4" s="95">
        <f>GetNormed(tblNormula[[#This Row],[Formula]],"selenium")</f>
        <v>1.7583291804958361E-2</v>
      </c>
      <c r="AF4" s="95">
        <f>GetNormed(tblNormula[[#This Row],[Formula]],"sodium")</f>
        <v>0.30432620431658697</v>
      </c>
      <c r="AG4" s="95">
        <f>GetNormed(tblNormula[[#This Row],[Formula]],"potassium")</f>
        <v>1.01442068105529</v>
      </c>
      <c r="AH4" s="95">
        <f>GetNormed(tblNormula[[#This Row],[Formula]],"chloride")</f>
        <v>0.40576827242211599</v>
      </c>
      <c r="AI4" s="95">
        <f>GetNormed(tblNormula[[#This Row],[Formula]],"molybdenum")</f>
        <v>1.69070113509215E-2</v>
      </c>
      <c r="AJ4" s="95">
        <f>GetNormed(tblNormula[[#This Row],[Formula]],"chromium")</f>
        <v>1.5554450442847778E-2</v>
      </c>
      <c r="AK4" s="95">
        <f>GetNormed(tblNormula[[#This Row],[Formula]],"carnitine")</f>
        <v>0</v>
      </c>
      <c r="AL4" s="95">
        <f>GetNormed(tblNormula[[#This Row],[Formula]],"taurine")</f>
        <v>0</v>
      </c>
    </row>
    <row r="5" spans="1:38" x14ac:dyDescent="0.25">
      <c r="A5" t="s">
        <v>250</v>
      </c>
      <c r="B5" s="95">
        <f>GetNormed(tblNormula[[#This Row],[Formula]],"calories")</f>
        <v>0.67628045403685999</v>
      </c>
      <c r="C5" s="95">
        <f>GetNormed(tblNormula[[#This Row],[Formula]],"protein")</f>
        <v>1.69070113509215E-2</v>
      </c>
      <c r="D5" s="95">
        <f>GetNormed(tblNormula[[#This Row],[Formula]],"fat")</f>
        <v>3.4490303155879858E-2</v>
      </c>
      <c r="E5" s="95">
        <f>GetNormed(tblNormula[[#This Row],[Formula]],"CHO")</f>
        <v>7.6419691306165174E-2</v>
      </c>
      <c r="F5" s="95">
        <f>GetNormed(tblNormula[[#This Row],[Formula]],"water")</f>
        <v>0.89945300386902372</v>
      </c>
      <c r="G5" s="95">
        <f>GetNormed(tblNormula[[#This Row],[Formula]],"linoleic acid")</f>
        <v>5.2749875414875076</v>
      </c>
      <c r="H5" s="95">
        <f>GetNormed(tblNormula[[#This Row],[Formula]],"vit A")</f>
        <v>2.0288413621105801</v>
      </c>
      <c r="I5" s="95">
        <f>GetNormed(tblNormula[[#This Row],[Formula]],"vit D")</f>
        <v>0.40576827242211599</v>
      </c>
      <c r="J5" s="95">
        <f>GetNormed(tblNormula[[#This Row],[Formula]],"vit E")</f>
        <v>1.3525609080737199E-2</v>
      </c>
      <c r="K5" s="95">
        <f>GetNormed(tblNormula[[#This Row],[Formula]],"vit K")</f>
        <v>6.0865240863317398E-2</v>
      </c>
      <c r="L5" s="95">
        <f>GetNormed(tblNormula[[#This Row],[Formula]],"thiamin")</f>
        <v>0.54102436322948799</v>
      </c>
      <c r="M5" s="95">
        <f>GetNormed(tblNormula[[#This Row],[Formula]],"riboflavin")</f>
        <v>0.94679263565160399</v>
      </c>
      <c r="N5" s="95">
        <f>GetNormed(tblNormula[[#This Row],[Formula]],"vit B6")</f>
        <v>0.40576827242211599</v>
      </c>
      <c r="O5" s="95">
        <f>GetNormed(tblNormula[[#This Row],[Formula]],"vit B12")</f>
        <v>2.0288413621105798E-3</v>
      </c>
      <c r="P5" s="95">
        <f>GetNormed(tblNormula[[#This Row],[Formula]],"niacin")</f>
        <v>6.7628045403685997</v>
      </c>
      <c r="Q5" s="95">
        <f>GetNormed(tblNormula[[#This Row],[Formula]],"folic acid")</f>
        <v>0.10820487264589759</v>
      </c>
      <c r="R5" s="95">
        <f>GetNormed(tblNormula[[#This Row],[Formula]],"pantothenic acid")</f>
        <v>3.3814022701842998</v>
      </c>
      <c r="S5" s="95">
        <f>GetNormed(tblNormula[[#This Row],[Formula]],"biotin")</f>
        <v>2.02884136211058E-2</v>
      </c>
      <c r="T5" s="95">
        <f>GetNormed(tblNormula[[#This Row],[Formula]],"vit C")</f>
        <v>8.1153654484423202E-2</v>
      </c>
      <c r="U5" s="95">
        <f>GetNormed(tblNormula[[#This Row],[Formula]],"choline")</f>
        <v>0.1623073089688464</v>
      </c>
      <c r="V5" s="95">
        <f>GetNormed(tblNormula[[#This Row],[Formula]],"inositol")</f>
        <v>4.0576827242211601E-2</v>
      </c>
      <c r="W5" s="95">
        <f>GetNormed(tblNormula[[#This Row],[Formula]],"calcium")</f>
        <v>0.5274987541487508</v>
      </c>
      <c r="X5" s="95">
        <f>GetNormed(tblNormula[[#This Row],[Formula]],"phosphorus")</f>
        <v>0.35842864063953578</v>
      </c>
      <c r="Y5" s="95">
        <f>GetNormed(tblNormula[[#This Row],[Formula]],"magnesium")</f>
        <v>5.4102436322948796E-2</v>
      </c>
      <c r="Z5" s="95">
        <f>GetNormed(tblNormula[[#This Row],[Formula]],"iron")</f>
        <v>1.217304817266348E-2</v>
      </c>
      <c r="AA5" s="95">
        <f>GetNormed(tblNormula[[#This Row],[Formula]],"zinc")</f>
        <v>6.7628045403685996E-3</v>
      </c>
      <c r="AB5" s="95">
        <f>GetNormed(tblNormula[[#This Row],[Formula]],"manganese")</f>
        <v>0.101442068105529</v>
      </c>
      <c r="AC5" s="95">
        <f>GetNormed(tblNormula[[#This Row],[Formula]],"copper")</f>
        <v>0.50721034052764502</v>
      </c>
      <c r="AD5" s="95">
        <f>GetNormed(tblNormula[[#This Row],[Formula]],"iodine")</f>
        <v>0.101442068105529</v>
      </c>
      <c r="AE5" s="95">
        <f>GetNormed(tblNormula[[#This Row],[Formula]],"selenium")</f>
        <v>1.8935852713032077E-2</v>
      </c>
      <c r="AF5" s="95">
        <f>GetNormed(tblNormula[[#This Row],[Formula]],"sodium")</f>
        <v>0.270512181614744</v>
      </c>
      <c r="AG5" s="95">
        <f>GetNormed(tblNormula[[#This Row],[Formula]],"potassium")</f>
        <v>0.73038289035980875</v>
      </c>
      <c r="AH5" s="95">
        <f>GetNormed(tblNormula[[#This Row],[Formula]],"chloride")</f>
        <v>0.50721034052764502</v>
      </c>
      <c r="AI5" s="95">
        <f>GetNormed(tblNormula[[#This Row],[Formula]],"molybdenum")</f>
        <v>0</v>
      </c>
      <c r="AJ5" s="95">
        <f>GetNormed(tblNormula[[#This Row],[Formula]],"chromium")</f>
        <v>0</v>
      </c>
      <c r="AK5" s="95">
        <f>GetNormed(tblNormula[[#This Row],[Formula]],"carnitine")</f>
        <v>0</v>
      </c>
      <c r="AL5" s="95">
        <f>GetNormed(tblNormula[[#This Row],[Formula]],"taurine")</f>
        <v>0</v>
      </c>
    </row>
    <row r="6" spans="1:38" x14ac:dyDescent="0.25">
      <c r="A6" t="s">
        <v>254</v>
      </c>
      <c r="B6" s="95">
        <f>GetNormed(tblNormula[[#This Row],[Formula]],"calories")</f>
        <v>0.75142272670762222</v>
      </c>
      <c r="C6" s="95">
        <f>GetNormed(tblNormula[[#This Row],[Formula]],"protein")</f>
        <v>2.1039836347813423E-2</v>
      </c>
      <c r="D6" s="95">
        <f>GetNormed(tblNormula[[#This Row],[Formula]],"fat")</f>
        <v>3.9825404515503982E-2</v>
      </c>
      <c r="E6" s="95">
        <f>GetNormed(tblNormula[[#This Row],[Formula]],"CHO")</f>
        <v>7.8147963577592724E-2</v>
      </c>
      <c r="F6" s="95">
        <f>GetNormed(tblNormula[[#This Row],[Formula]],"water")</f>
        <v>0.87916459024791804</v>
      </c>
      <c r="G6" s="95">
        <f>GetNormed(tblNormula[[#This Row],[Formula]],"linoleic acid")</f>
        <v>6.4622354496855516</v>
      </c>
      <c r="H6" s="95">
        <f>GetNormed(tblNormula[[#This Row],[Formula]],"vit A")</f>
        <v>3.3814022701843003</v>
      </c>
      <c r="I6" s="95">
        <f>GetNormed(tblNormula[[#This Row],[Formula]],"vit D")</f>
        <v>0.52599590869533563</v>
      </c>
      <c r="J6" s="95">
        <f>GetNormed(tblNormula[[#This Row],[Formula]],"vit E")</f>
        <v>3.0056909068304889E-2</v>
      </c>
      <c r="K6" s="95">
        <f>GetNormed(tblNormula[[#This Row],[Formula]],"vit K")</f>
        <v>6.0113818136609778E-2</v>
      </c>
      <c r="L6" s="95">
        <f>GetNormed(tblNormula[[#This Row],[Formula]],"thiamin")</f>
        <v>1.5028454534152444</v>
      </c>
      <c r="M6" s="95">
        <f>GetNormed(tblNormula[[#This Row],[Formula]],"riboflavin")</f>
        <v>1.5028454534152444</v>
      </c>
      <c r="N6" s="95">
        <f>GetNormed(tblNormula[[#This Row],[Formula]],"vit B6")</f>
        <v>0.45085363602457335</v>
      </c>
      <c r="O6" s="95">
        <f>GetNormed(tblNormula[[#This Row],[Formula]],"vit B12")</f>
        <v>2.2542681801228665E-3</v>
      </c>
      <c r="P6" s="95">
        <f>GetNormed(tblNormula[[#This Row],[Formula]],"niacin")</f>
        <v>7.5142272670762225</v>
      </c>
      <c r="Q6" s="95">
        <f>GetNormed(tblNormula[[#This Row],[Formula]],"folic acid")</f>
        <v>0.19536990894398179</v>
      </c>
      <c r="R6" s="95">
        <f>GetNormed(tblNormula[[#This Row],[Formula]],"pantothenic acid")</f>
        <v>6.3870931770147896</v>
      </c>
      <c r="S6" s="95">
        <f>GetNormed(tblNormula[[#This Row],[Formula]],"biotin")</f>
        <v>3.757113633538111E-2</v>
      </c>
      <c r="T6" s="95">
        <f>GetNormed(tblNormula[[#This Row],[Formula]],"vit C")</f>
        <v>0.12022763627321956</v>
      </c>
      <c r="U6" s="95">
        <f>GetNormed(tblNormula[[#This Row],[Formula]],"choline")</f>
        <v>0.18034145440982935</v>
      </c>
      <c r="V6" s="95">
        <f>GetNormed(tblNormula[[#This Row],[Formula]],"inositol")</f>
        <v>0.22542681801228667</v>
      </c>
      <c r="W6" s="95">
        <f>GetNormed(tblNormula[[#This Row],[Formula]],"calcium")</f>
        <v>0.90170727204914669</v>
      </c>
      <c r="X6" s="95">
        <f>GetNormed(tblNormula[[#This Row],[Formula]],"phosphorus")</f>
        <v>0.4959389996270307</v>
      </c>
      <c r="Y6" s="95">
        <f>GetNormed(tblNormula[[#This Row],[Formula]],"magnesium")</f>
        <v>6.0113818136609778E-2</v>
      </c>
      <c r="Z6" s="95">
        <f>GetNormed(tblNormula[[#This Row],[Formula]],"iron")</f>
        <v>1.3525609080737201E-2</v>
      </c>
      <c r="AA6" s="95">
        <f>GetNormed(tblNormula[[#This Row],[Formula]],"zinc")</f>
        <v>7.5142272670762223E-3</v>
      </c>
      <c r="AB6" s="95">
        <f>GetNormed(tblNormula[[#This Row],[Formula]],"manganese")</f>
        <v>0.11271340900614334</v>
      </c>
      <c r="AC6" s="95">
        <f>GetNormed(tblNormula[[#This Row],[Formula]],"copper")</f>
        <v>0.90170727204914669</v>
      </c>
      <c r="AD6" s="95">
        <f>GetNormed(tblNormula[[#This Row],[Formula]],"iodine")</f>
        <v>0.15779877260860067</v>
      </c>
      <c r="AE6" s="95">
        <f>GetNormed(tblNormula[[#This Row],[Formula]],"selenium")</f>
        <v>2.1039836347813423E-2</v>
      </c>
      <c r="AF6" s="95">
        <f>GetNormed(tblNormula[[#This Row],[Formula]],"sodium")</f>
        <v>0.27802640888182023</v>
      </c>
      <c r="AG6" s="95">
        <f>GetNormed(tblNormula[[#This Row],[Formula]],"potassium")</f>
        <v>0.78899386304300334</v>
      </c>
      <c r="AH6" s="95">
        <f>GetNormed(tblNormula[[#This Row],[Formula]],"chloride")</f>
        <v>0.5861097268319454</v>
      </c>
      <c r="AI6" s="95">
        <f>GetNormed(tblNormula[[#This Row],[Formula]],"molybdenum")</f>
        <v>0</v>
      </c>
      <c r="AJ6" s="95">
        <f>GetNormed(tblNormula[[#This Row],[Formula]],"chromium")</f>
        <v>0</v>
      </c>
      <c r="AK6" s="95">
        <f>GetNormed(tblNormula[[#This Row],[Formula]],"carnitine")</f>
        <v>0</v>
      </c>
      <c r="AL6" s="95">
        <f>GetNormed(tblNormula[[#This Row],[Formula]],"taurine")</f>
        <v>0</v>
      </c>
    </row>
    <row r="7" spans="1:38" x14ac:dyDescent="0.25">
      <c r="A7" t="s">
        <v>247</v>
      </c>
      <c r="B7" s="95">
        <f>GetNormed(tblNormula[[#This Row],[Formula]],"calories")</f>
        <v>0.67628045403685999</v>
      </c>
      <c r="C7" s="95">
        <f>GetNormed(tblNormula[[#This Row],[Formula]],"protein")</f>
        <v>1.5554450442847778E-2</v>
      </c>
      <c r="D7" s="95">
        <f>GetNormed(tblNormula[[#This Row],[Formula]],"fat")</f>
        <v>3.5842864063953574E-2</v>
      </c>
      <c r="E7" s="95">
        <f>GetNormed(tblNormula[[#This Row],[Formula]],"CHO")</f>
        <v>7.3038289035980877E-2</v>
      </c>
      <c r="F7" s="95">
        <f>GetNormed(tblNormula[[#This Row],[Formula]],"water")</f>
        <v>0.89945300386902372</v>
      </c>
      <c r="G7" s="95">
        <f>GetNormed(tblNormula[[#This Row],[Formula]],"linoleic acid")</f>
        <v>5.4102436322948799</v>
      </c>
      <c r="H7" s="95">
        <f>GetNormed(tblNormula[[#This Row],[Formula]],"vit A")</f>
        <v>2.0288413621105801</v>
      </c>
      <c r="I7" s="95">
        <f>GetNormed(tblNormula[[#This Row],[Formula]],"vit D")</f>
        <v>0.40576827242211599</v>
      </c>
      <c r="J7" s="95">
        <f>GetNormed(tblNormula[[#This Row],[Formula]],"vit E")</f>
        <v>1.3525609080737199E-2</v>
      </c>
      <c r="K7" s="95">
        <f>GetNormed(tblNormula[[#This Row],[Formula]],"vit K")</f>
        <v>6.0865240863317398E-2</v>
      </c>
      <c r="L7" s="95">
        <f>GetNormed(tblNormula[[#This Row],[Formula]],"thiamin")</f>
        <v>0.54102436322948799</v>
      </c>
      <c r="M7" s="95">
        <f>GetNormed(tblNormula[[#This Row],[Formula]],"riboflavin")</f>
        <v>0.94679263565160399</v>
      </c>
      <c r="N7" s="95">
        <f>GetNormed(tblNormula[[#This Row],[Formula]],"vit B6")</f>
        <v>0.40576827242211599</v>
      </c>
      <c r="O7" s="95">
        <f>GetNormed(tblNormula[[#This Row],[Formula]],"vit B12")</f>
        <v>2.0288413621105798E-3</v>
      </c>
      <c r="P7" s="95">
        <f>GetNormed(tblNormula[[#This Row],[Formula]],"niacin")</f>
        <v>6.7628045403685997</v>
      </c>
      <c r="Q7" s="95">
        <f>GetNormed(tblNormula[[#This Row],[Formula]],"folic acid")</f>
        <v>0.10820487264589759</v>
      </c>
      <c r="R7" s="95">
        <f>GetNormed(tblNormula[[#This Row],[Formula]],"pantothenic acid")</f>
        <v>3.3814022701842998</v>
      </c>
      <c r="S7" s="95">
        <f>GetNormed(tblNormula[[#This Row],[Formula]],"biotin")</f>
        <v>2.02884136211058E-2</v>
      </c>
      <c r="T7" s="95">
        <f>GetNormed(tblNormula[[#This Row],[Formula]],"vit C")</f>
        <v>8.1153654484423202E-2</v>
      </c>
      <c r="U7" s="95">
        <f>GetNormed(tblNormula[[#This Row],[Formula]],"choline")</f>
        <v>0.1623073089688464</v>
      </c>
      <c r="V7" s="95">
        <f>GetNormed(tblNormula[[#This Row],[Formula]],"inositol")</f>
        <v>4.0576827242211601E-2</v>
      </c>
      <c r="W7" s="95">
        <f>GetNormed(tblNormula[[#This Row],[Formula]],"calcium")</f>
        <v>0.55454997231022518</v>
      </c>
      <c r="X7" s="95">
        <f>GetNormed(tblNormula[[#This Row],[Formula]],"phosphorus")</f>
        <v>0.31108900885695556</v>
      </c>
      <c r="Y7" s="95">
        <f>GetNormed(tblNormula[[#This Row],[Formula]],"magnesium")</f>
        <v>5.4102436322948796E-2</v>
      </c>
      <c r="Z7" s="95">
        <f>GetNormed(tblNormula[[#This Row],[Formula]],"iron")</f>
        <v>1.217304817266348E-2</v>
      </c>
      <c r="AA7" s="95">
        <f>GetNormed(tblNormula[[#This Row],[Formula]],"zinc")</f>
        <v>6.7628045403685996E-3</v>
      </c>
      <c r="AB7" s="95">
        <f>GetNormed(tblNormula[[#This Row],[Formula]],"manganese")</f>
        <v>0.101442068105529</v>
      </c>
      <c r="AC7" s="95">
        <f>GetNormed(tblNormula[[#This Row],[Formula]],"copper")</f>
        <v>0.50721034052764502</v>
      </c>
      <c r="AD7" s="95">
        <f>GetNormed(tblNormula[[#This Row],[Formula]],"iodine")</f>
        <v>0.101442068105529</v>
      </c>
      <c r="AE7" s="95">
        <f>GetNormed(tblNormula[[#This Row],[Formula]],"selenium")</f>
        <v>1.8935852713032077E-2</v>
      </c>
      <c r="AF7" s="95">
        <f>GetNormed(tblNormula[[#This Row],[Formula]],"sodium")</f>
        <v>0.24346096345326959</v>
      </c>
      <c r="AG7" s="95">
        <f>GetNormed(tblNormula[[#This Row],[Formula]],"potassium")</f>
        <v>0.73038289035980875</v>
      </c>
      <c r="AH7" s="95">
        <f>GetNormed(tblNormula[[#This Row],[Formula]],"chloride")</f>
        <v>0.42605668604322178</v>
      </c>
      <c r="AI7" s="95">
        <f>GetNormed(tblNormula[[#This Row],[Formula]],"molybdenum")</f>
        <v>0</v>
      </c>
      <c r="AJ7" s="95">
        <f>GetNormed(tblNormula[[#This Row],[Formula]],"chromium")</f>
        <v>0</v>
      </c>
      <c r="AK7" s="95">
        <f>GetNormed(tblNormula[[#This Row],[Formula]],"carnitine")</f>
        <v>0</v>
      </c>
      <c r="AL7" s="95">
        <f>GetNormed(tblNormula[[#This Row],[Formula]],"taurine")</f>
        <v>0</v>
      </c>
    </row>
    <row r="8" spans="1:38" x14ac:dyDescent="0.25">
      <c r="A8" t="s">
        <v>246</v>
      </c>
      <c r="B8" s="95">
        <f>GetNormed(tblNormula[[#This Row],[Formula]],"calories")</f>
        <v>0.67628045403685999</v>
      </c>
      <c r="C8" s="95">
        <f>GetNormed(tblNormula[[#This Row],[Formula]],"protein")</f>
        <v>1.3525609080737199E-2</v>
      </c>
      <c r="D8" s="95">
        <f>GetNormed(tblNormula[[#This Row],[Formula]],"fat")</f>
        <v>3.5842864063953574E-2</v>
      </c>
      <c r="E8" s="95">
        <f>GetNormed(tblNormula[[#This Row],[Formula]],"CHO")</f>
        <v>7.6419691306165174E-2</v>
      </c>
      <c r="F8" s="95">
        <f>GetNormed(tblNormula[[#This Row],[Formula]],"water")</f>
        <v>0.89945300386902372</v>
      </c>
      <c r="G8" s="95">
        <f>GetNormed(tblNormula[[#This Row],[Formula]],"linoleic acid")</f>
        <v>5.2749875414875076</v>
      </c>
      <c r="H8" s="95">
        <f>GetNormed(tblNormula[[#This Row],[Formula]],"vit A")</f>
        <v>2.0288413621105801</v>
      </c>
      <c r="I8" s="95">
        <f>GetNormed(tblNormula[[#This Row],[Formula]],"vit D")</f>
        <v>0.40576827242211599</v>
      </c>
      <c r="J8" s="95">
        <f>GetNormed(tblNormula[[#This Row],[Formula]],"vit E")</f>
        <v>1.3525609080737199E-2</v>
      </c>
      <c r="K8" s="95">
        <f>GetNormed(tblNormula[[#This Row],[Formula]],"vit K")</f>
        <v>6.0865240863317398E-2</v>
      </c>
      <c r="L8" s="95">
        <f>GetNormed(tblNormula[[#This Row],[Formula]],"thiamin")</f>
        <v>0.54102436322948799</v>
      </c>
      <c r="M8" s="95">
        <f>GetNormed(tblNormula[[#This Row],[Formula]],"riboflavin")</f>
        <v>0.94679263565160399</v>
      </c>
      <c r="N8" s="95">
        <f>GetNormed(tblNormula[[#This Row],[Formula]],"vit B6")</f>
        <v>0.40576827242211599</v>
      </c>
      <c r="O8" s="95">
        <f>GetNormed(tblNormula[[#This Row],[Formula]],"vit B12")</f>
        <v>2.0288413621105798E-3</v>
      </c>
      <c r="P8" s="95">
        <f>GetNormed(tblNormula[[#This Row],[Formula]],"niacin")</f>
        <v>6.7628045403685997</v>
      </c>
      <c r="Q8" s="95">
        <f>GetNormed(tblNormula[[#This Row],[Formula]],"folic acid")</f>
        <v>0.10820487264589759</v>
      </c>
      <c r="R8" s="95">
        <f>GetNormed(tblNormula[[#This Row],[Formula]],"pantothenic acid")</f>
        <v>3.3814022701842998</v>
      </c>
      <c r="S8" s="95">
        <f>GetNormed(tblNormula[[#This Row],[Formula]],"biotin")</f>
        <v>2.02884136211058E-2</v>
      </c>
      <c r="T8" s="95">
        <f>GetNormed(tblNormula[[#This Row],[Formula]],"vit C")</f>
        <v>8.1153654484423202E-2</v>
      </c>
      <c r="U8" s="95">
        <f>GetNormed(tblNormula[[#This Row],[Formula]],"choline")</f>
        <v>0.1623073089688464</v>
      </c>
      <c r="V8" s="95">
        <f>GetNormed(tblNormula[[#This Row],[Formula]],"inositol")</f>
        <v>0.1623073089688464</v>
      </c>
      <c r="W8" s="95">
        <f>GetNormed(tblNormula[[#This Row],[Formula]],"calcium")</f>
        <v>0.5274987541487508</v>
      </c>
      <c r="X8" s="95">
        <f>GetNormed(tblNormula[[#This Row],[Formula]],"phosphorus")</f>
        <v>0.29080059523584978</v>
      </c>
      <c r="Y8" s="95">
        <f>GetNormed(tblNormula[[#This Row],[Formula]],"magnesium")</f>
        <v>5.4102436322948796E-2</v>
      </c>
      <c r="Z8" s="95">
        <f>GetNormed(tblNormula[[#This Row],[Formula]],"iron")</f>
        <v>1.217304817266348E-2</v>
      </c>
      <c r="AA8" s="95">
        <f>GetNormed(tblNormula[[#This Row],[Formula]],"zinc")</f>
        <v>6.7628045403685996E-3</v>
      </c>
      <c r="AB8" s="95">
        <f>GetNormed(tblNormula[[#This Row],[Formula]],"manganese")</f>
        <v>0.101442068105529</v>
      </c>
      <c r="AC8" s="95">
        <f>GetNormed(tblNormula[[#This Row],[Formula]],"copper")</f>
        <v>0.50721034052764502</v>
      </c>
      <c r="AD8" s="95">
        <f>GetNormed(tblNormula[[#This Row],[Formula]],"iodine")</f>
        <v>0.101442068105529</v>
      </c>
      <c r="AE8" s="95">
        <f>GetNormed(tblNormula[[#This Row],[Formula]],"selenium")</f>
        <v>1.8935852713032077E-2</v>
      </c>
      <c r="AF8" s="95">
        <f>GetNormed(tblNormula[[#This Row],[Formula]],"sodium")</f>
        <v>0.18259572258995219</v>
      </c>
      <c r="AG8" s="95">
        <f>GetNormed(tblNormula[[#This Row],[Formula]],"potassium")</f>
        <v>0.73038289035980875</v>
      </c>
      <c r="AH8" s="95">
        <f>GetNormed(tblNormula[[#This Row],[Formula]],"chloride")</f>
        <v>0.42605668604322178</v>
      </c>
      <c r="AI8" s="95">
        <f>GetNormed(tblNormula[[#This Row],[Formula]],"molybdenum")</f>
        <v>0</v>
      </c>
      <c r="AJ8" s="95">
        <f>GetNormed(tblNormula[[#This Row],[Formula]],"chromium")</f>
        <v>0</v>
      </c>
      <c r="AK8" s="95">
        <f>GetNormed(tblNormula[[#This Row],[Formula]],"carnitine")</f>
        <v>0</v>
      </c>
      <c r="AL8" s="95">
        <f>GetNormed(tblNormula[[#This Row],[Formula]],"taurine")</f>
        <v>0</v>
      </c>
    </row>
    <row r="9" spans="1:38" x14ac:dyDescent="0.25">
      <c r="A9" t="s">
        <v>245</v>
      </c>
      <c r="B9" s="95">
        <f>GetNormed(tblNormula[[#This Row],[Formula]],"calories")</f>
        <v>0.67628045403685999</v>
      </c>
      <c r="C9" s="95">
        <f>GetNormed(tblNormula[[#This Row],[Formula]],"protein")</f>
        <v>1.4201889534774061E-2</v>
      </c>
      <c r="D9" s="95">
        <f>GetNormed(tblNormula[[#This Row],[Formula]],"fat")</f>
        <v>3.5842864063953574E-2</v>
      </c>
      <c r="E9" s="95">
        <f>GetNormed(tblNormula[[#This Row],[Formula]],"CHO")</f>
        <v>7.5743410852128309E-2</v>
      </c>
      <c r="F9" s="95">
        <f>GetNormed(tblNormula[[#This Row],[Formula]],"water")</f>
        <v>0.89945300386902372</v>
      </c>
      <c r="G9" s="95">
        <f>GetNormed(tblNormula[[#This Row],[Formula]],"linoleic acid")</f>
        <v>5.816011904716996</v>
      </c>
      <c r="H9" s="95">
        <f>GetNormed(tblNormula[[#This Row],[Formula]],"vit A")</f>
        <v>2.0288413621105801</v>
      </c>
      <c r="I9" s="95">
        <f>GetNormed(tblNormula[[#This Row],[Formula]],"vit D")</f>
        <v>0.50721034052764502</v>
      </c>
      <c r="J9" s="95">
        <f>GetNormed(tblNormula[[#This Row],[Formula]],"vit E")</f>
        <v>1.3525609080737199E-2</v>
      </c>
      <c r="K9" s="95">
        <f>GetNormed(tblNormula[[#This Row],[Formula]],"vit K")</f>
        <v>6.0865240863317398E-2</v>
      </c>
      <c r="L9" s="95">
        <f>GetNormed(tblNormula[[#This Row],[Formula]],"thiamin")</f>
        <v>0.54102436322948799</v>
      </c>
      <c r="M9" s="95">
        <f>GetNormed(tblNormula[[#This Row],[Formula]],"riboflavin")</f>
        <v>0.94679263565160399</v>
      </c>
      <c r="N9" s="95">
        <f>GetNormed(tblNormula[[#This Row],[Formula]],"vit B6")</f>
        <v>0.40576827242211599</v>
      </c>
      <c r="O9" s="95">
        <f>GetNormed(tblNormula[[#This Row],[Formula]],"vit B12")</f>
        <v>2.0288413621105798E-3</v>
      </c>
      <c r="P9" s="95">
        <f>GetNormed(tblNormula[[#This Row],[Formula]],"niacin")</f>
        <v>6.7628045403685997</v>
      </c>
      <c r="Q9" s="95">
        <f>GetNormed(tblNormula[[#This Row],[Formula]],"folic acid")</f>
        <v>0.10820487264589759</v>
      </c>
      <c r="R9" s="95">
        <f>GetNormed(tblNormula[[#This Row],[Formula]],"pantothenic acid")</f>
        <v>3.3814022701842998</v>
      </c>
      <c r="S9" s="95">
        <f>GetNormed(tblNormula[[#This Row],[Formula]],"biotin")</f>
        <v>2.02884136211058E-2</v>
      </c>
      <c r="T9" s="95">
        <f>GetNormed(tblNormula[[#This Row],[Formula]],"vit C")</f>
        <v>8.1153654484423202E-2</v>
      </c>
      <c r="U9" s="95">
        <f>GetNormed(tblNormula[[#This Row],[Formula]],"choline")</f>
        <v>0.1623073089688464</v>
      </c>
      <c r="V9" s="95">
        <f>GetNormed(tblNormula[[#This Row],[Formula]],"inositol")</f>
        <v>4.0576827242211601E-2</v>
      </c>
      <c r="W9" s="95">
        <f>GetNormed(tblNormula[[#This Row],[Formula]],"calcium")</f>
        <v>0.5274987541487508</v>
      </c>
      <c r="X9" s="95">
        <f>GetNormed(tblNormula[[#This Row],[Formula]],"phosphorus")</f>
        <v>0.29080059523584978</v>
      </c>
      <c r="Y9" s="95">
        <f>GetNormed(tblNormula[[#This Row],[Formula]],"magnesium")</f>
        <v>5.4102436322948796E-2</v>
      </c>
      <c r="Z9" s="95">
        <f>GetNormed(tblNormula[[#This Row],[Formula]],"iron")</f>
        <v>1.217304817266348E-2</v>
      </c>
      <c r="AA9" s="95">
        <f>GetNormed(tblNormula[[#This Row],[Formula]],"zinc")</f>
        <v>6.7628045403685996E-3</v>
      </c>
      <c r="AB9" s="95">
        <f>GetNormed(tblNormula[[#This Row],[Formula]],"manganese")</f>
        <v>0.101442068105529</v>
      </c>
      <c r="AC9" s="95">
        <f>GetNormed(tblNormula[[#This Row],[Formula]],"copper")</f>
        <v>0.50721034052764502</v>
      </c>
      <c r="AD9" s="95">
        <f>GetNormed(tblNormula[[#This Row],[Formula]],"iodine")</f>
        <v>0.101442068105529</v>
      </c>
      <c r="AE9" s="95">
        <f>GetNormed(tblNormula[[#This Row],[Formula]],"selenium")</f>
        <v>1.8935852713032077E-2</v>
      </c>
      <c r="AF9" s="95">
        <f>GetNormed(tblNormula[[#This Row],[Formula]],"sodium")</f>
        <v>0.18259572258995219</v>
      </c>
      <c r="AG9" s="95">
        <f>GetNormed(tblNormula[[#This Row],[Formula]],"potassium")</f>
        <v>0.73038289035980875</v>
      </c>
      <c r="AH9" s="95">
        <f>GetNormed(tblNormula[[#This Row],[Formula]],"chloride")</f>
        <v>0.42605668604322178</v>
      </c>
      <c r="AI9" s="95">
        <f>GetNormed(tblNormula[[#This Row],[Formula]],"molybdenum")</f>
        <v>0</v>
      </c>
      <c r="AJ9" s="95">
        <f>GetNormed(tblNormula[[#This Row],[Formula]],"chromium")</f>
        <v>0</v>
      </c>
      <c r="AK9" s="95">
        <f>GetNormed(tblNormula[[#This Row],[Formula]],"carnitine")</f>
        <v>0</v>
      </c>
      <c r="AL9" s="95">
        <f>GetNormed(tblNormula[[#This Row],[Formula]],"taurine")</f>
        <v>0</v>
      </c>
    </row>
    <row r="10" spans="1:38" x14ac:dyDescent="0.25">
      <c r="A10" t="s">
        <v>78</v>
      </c>
      <c r="B10" s="95">
        <f>GetNormed(tblNormula[[#This Row],[Formula]],"calories")</f>
        <v>0.74399999999999999</v>
      </c>
      <c r="C10" s="95">
        <f>GetNormed(tblNormula[[#This Row],[Formula]],"protein")</f>
        <v>2.0829999999999998E-2</v>
      </c>
      <c r="D10" s="95">
        <f>GetNormed(tblNormula[[#This Row],[Formula]],"fat")</f>
        <v>4.0920000000000005E-2</v>
      </c>
      <c r="E10" s="95">
        <f>GetNormed(tblNormula[[#This Row],[Formula]],"CHO")</f>
        <v>7.51E-2</v>
      </c>
      <c r="F10" s="95">
        <f>GetNormed(tblNormula[[#This Row],[Formula]],"water")</f>
        <v>0.89300000000000002</v>
      </c>
      <c r="G10" s="95">
        <f>GetNormed(tblNormula[[#This Row],[Formula]],"linoleic acid")</f>
        <v>5.5789999999999997</v>
      </c>
      <c r="H10" s="95">
        <f>GetNormed(tblNormula[[#This Row],[Formula]],"vit A")</f>
        <v>2.6040000000000001</v>
      </c>
      <c r="I10" s="95">
        <f>GetNormed(tblNormula[[#This Row],[Formula]],"vit D")</f>
        <v>0.52100000000000002</v>
      </c>
      <c r="J10" s="95">
        <f>GetNormed(tblNormula[[#This Row],[Formula]],"vit E")</f>
        <v>2.6800000000000001E-2</v>
      </c>
      <c r="K10" s="95">
        <f>GetNormed(tblNormula[[#This Row],[Formula]],"vit K")</f>
        <v>8.1799999999999998E-2</v>
      </c>
      <c r="L10" s="95">
        <f>GetNormed(tblNormula[[#This Row],[Formula]],"thiamin")</f>
        <v>1.302</v>
      </c>
      <c r="M10" s="95">
        <f>GetNormed(tblNormula[[#This Row],[Formula]],"riboflavin")</f>
        <v>1.1160000000000001</v>
      </c>
      <c r="N10" s="95">
        <f>GetNormed(tblNormula[[#This Row],[Formula]],"vit B6")</f>
        <v>0.74399999999999999</v>
      </c>
      <c r="O10" s="95">
        <f>GetNormed(tblNormula[[#This Row],[Formula]],"vit B12")</f>
        <v>2.98E-3</v>
      </c>
      <c r="P10" s="95">
        <f>GetNormed(tblNormula[[#This Row],[Formula]],"niacin")</f>
        <v>14.506</v>
      </c>
      <c r="Q10" s="95">
        <f>GetNormed(tblNormula[[#This Row],[Formula]],"folic acid")</f>
        <v>0.186</v>
      </c>
      <c r="R10" s="95">
        <f>GetNormed(tblNormula[[#This Row],[Formula]],"pantothenic acid")</f>
        <v>5.9509999999999996</v>
      </c>
      <c r="S10" s="95">
        <f>GetNormed(tblNormula[[#This Row],[Formula]],"biotin")</f>
        <v>6.7000000000000004E-2</v>
      </c>
      <c r="T10" s="95">
        <f>GetNormed(tblNormula[[#This Row],[Formula]],"vit C")</f>
        <v>0.112</v>
      </c>
      <c r="U10" s="95">
        <f>GetNormed(tblNormula[[#This Row],[Formula]],"choline")</f>
        <v>0.11899999999999999</v>
      </c>
      <c r="V10" s="95">
        <f>GetNormed(tblNormula[[#This Row],[Formula]],"inositol")</f>
        <v>0.26</v>
      </c>
      <c r="W10" s="95">
        <f>GetNormed(tblNormula[[#This Row],[Formula]],"calcium")</f>
        <v>0.78100000000000003</v>
      </c>
      <c r="X10" s="95">
        <f>GetNormed(tblNormula[[#This Row],[Formula]],"phosphorus")</f>
        <v>0.46100000000000002</v>
      </c>
      <c r="Y10" s="95">
        <f>GetNormed(tblNormula[[#This Row],[Formula]],"magnesium")</f>
        <v>6.7000000000000004E-2</v>
      </c>
      <c r="Z10" s="95">
        <f>GetNormed(tblNormula[[#This Row],[Formula]],"iron")</f>
        <v>1.34E-2</v>
      </c>
      <c r="AA10" s="95">
        <f>GetNormed(tblNormula[[#This Row],[Formula]],"zinc")</f>
        <v>8.8999999999999999E-3</v>
      </c>
      <c r="AB10" s="95">
        <f>GetNormed(tblNormula[[#This Row],[Formula]],"manganese")</f>
        <v>7.3999999999999996E-2</v>
      </c>
      <c r="AC10" s="95">
        <f>GetNormed(tblNormula[[#This Row],[Formula]],"copper")</f>
        <v>0.89300000000000002</v>
      </c>
      <c r="AD10" s="95">
        <f>GetNormed(tblNormula[[#This Row],[Formula]],"iodine")</f>
        <v>0.112</v>
      </c>
      <c r="AE10" s="95">
        <f>GetNormed(tblNormula[[#This Row],[Formula]],"selenium")</f>
        <v>1.7100000000000001E-2</v>
      </c>
      <c r="AF10" s="95">
        <f>GetNormed(tblNormula[[#This Row],[Formula]],"sodium")</f>
        <v>0.245</v>
      </c>
      <c r="AG10" s="95">
        <f>GetNormed(tblNormula[[#This Row],[Formula]],"potassium")</f>
        <v>1.056</v>
      </c>
      <c r="AH10" s="95">
        <f>GetNormed(tblNormula[[#This Row],[Formula]],"chloride")</f>
        <v>0.55800000000000005</v>
      </c>
      <c r="AI10" s="95">
        <f>GetNormed(tblNormula[[#This Row],[Formula]],"molybdenum")</f>
        <v>0</v>
      </c>
      <c r="AJ10" s="95">
        <f>GetNormed(tblNormula[[#This Row],[Formula]],"chromium")</f>
        <v>0</v>
      </c>
      <c r="AK10" s="95">
        <f>GetNormed(tblNormula[[#This Row],[Formula]],"carnitine")</f>
        <v>0</v>
      </c>
      <c r="AL10" s="95">
        <f>GetNormed(tblNormula[[#This Row],[Formula]],"taurine")</f>
        <v>0</v>
      </c>
    </row>
    <row r="11" spans="1:38" x14ac:dyDescent="0.25">
      <c r="A11" t="s">
        <v>256</v>
      </c>
      <c r="B11" s="95">
        <f>GetNormed(tblNormula[[#This Row],[Formula]],"calories")</f>
        <v>0.67628045403685999</v>
      </c>
      <c r="C11" s="95">
        <f>GetNormed(tblNormula[[#This Row],[Formula]],"protein")</f>
        <v>1.8935852713032077E-2</v>
      </c>
      <c r="D11" s="95">
        <f>GetNormed(tblNormula[[#This Row],[Formula]],"fat")</f>
        <v>3.5842864063953574E-2</v>
      </c>
      <c r="E11" s="95">
        <f>GetNormed(tblNormula[[#This Row],[Formula]],"CHO")</f>
        <v>6.965688676579658E-2</v>
      </c>
      <c r="F11" s="95">
        <f>GetNormed(tblNormula[[#This Row],[Formula]],"water")</f>
        <v>0.89945300386902372</v>
      </c>
      <c r="G11" s="95">
        <f>GetNormed(tblNormula[[#This Row],[Formula]],"linoleic acid")</f>
        <v>5.816011904716996</v>
      </c>
      <c r="H11" s="95">
        <f>GetNormed(tblNormula[[#This Row],[Formula]],"vit A")</f>
        <v>2.0288413621105801</v>
      </c>
      <c r="I11" s="95">
        <f>GetNormed(tblNormula[[#This Row],[Formula]],"vit D")</f>
        <v>0.33814022701843</v>
      </c>
      <c r="J11" s="95">
        <f>GetNormed(tblNormula[[#This Row],[Formula]],"vit E")</f>
        <v>1.3525609080737199E-2</v>
      </c>
      <c r="K11" s="95">
        <f>GetNormed(tblNormula[[#This Row],[Formula]],"vit K")</f>
        <v>6.0865240863317398E-2</v>
      </c>
      <c r="L11" s="95">
        <f>GetNormed(tblNormula[[#This Row],[Formula]],"thiamin")</f>
        <v>0.54102436322948799</v>
      </c>
      <c r="M11" s="95">
        <f>GetNormed(tblNormula[[#This Row],[Formula]],"riboflavin")</f>
        <v>0.60865240863317394</v>
      </c>
      <c r="N11" s="95">
        <f>GetNormed(tblNormula[[#This Row],[Formula]],"vit B6")</f>
        <v>0.40576827242211599</v>
      </c>
      <c r="O11" s="95">
        <f>GetNormed(tblNormula[[#This Row],[Formula]],"vit B12")</f>
        <v>2.0288413621105798E-3</v>
      </c>
      <c r="P11" s="95">
        <f>GetNormed(tblNormula[[#This Row],[Formula]],"niacin")</f>
        <v>6.7628045403685997</v>
      </c>
      <c r="Q11" s="95">
        <f>GetNormed(tblNormula[[#This Row],[Formula]],"folic acid")</f>
        <v>0.10820487264589759</v>
      </c>
      <c r="R11" s="95">
        <f>GetNormed(tblNormula[[#This Row],[Formula]],"pantothenic acid")</f>
        <v>3.3814022701842998</v>
      </c>
      <c r="S11" s="95">
        <f>GetNormed(tblNormula[[#This Row],[Formula]],"biotin")</f>
        <v>2.02884136211058E-2</v>
      </c>
      <c r="T11" s="95">
        <f>GetNormed(tblNormula[[#This Row],[Formula]],"vit C")</f>
        <v>8.1153654484423202E-2</v>
      </c>
      <c r="U11" s="95">
        <f>GetNormed(tblNormula[[#This Row],[Formula]],"choline")</f>
        <v>0.1623073089688464</v>
      </c>
      <c r="V11" s="95">
        <f>GetNormed(tblNormula[[#This Row],[Formula]],"inositol")</f>
        <v>0.11496767718626619</v>
      </c>
      <c r="W11" s="95">
        <f>GetNormed(tblNormula[[#This Row],[Formula]],"calcium")</f>
        <v>0.63570362679464831</v>
      </c>
      <c r="X11" s="95">
        <f>GetNormed(tblNormula[[#This Row],[Formula]],"phosphorus")</f>
        <v>0.35166583609916718</v>
      </c>
      <c r="Y11" s="95">
        <f>GetNormed(tblNormula[[#This Row],[Formula]],"magnesium")</f>
        <v>5.4102436322948796E-2</v>
      </c>
      <c r="Z11" s="95">
        <f>GetNormed(tblNormula[[#This Row],[Formula]],"iron")</f>
        <v>1.217304817266348E-2</v>
      </c>
      <c r="AA11" s="95">
        <f>GetNormed(tblNormula[[#This Row],[Formula]],"zinc")</f>
        <v>6.7628045403685996E-3</v>
      </c>
      <c r="AB11" s="95">
        <f>GetNormed(tblNormula[[#This Row],[Formula]],"manganese")</f>
        <v>0.169070113509215</v>
      </c>
      <c r="AC11" s="95">
        <f>GetNormed(tblNormula[[#This Row],[Formula]],"copper")</f>
        <v>0.50721034052764502</v>
      </c>
      <c r="AD11" s="95">
        <f>GetNormed(tblNormula[[#This Row],[Formula]],"iodine")</f>
        <v>0.101442068105529</v>
      </c>
      <c r="AE11" s="95">
        <f>GetNormed(tblNormula[[#This Row],[Formula]],"selenium")</f>
        <v>1.8935852713032077E-2</v>
      </c>
      <c r="AF11" s="95">
        <f>GetNormed(tblNormula[[#This Row],[Formula]],"sodium")</f>
        <v>0.31785181339732416</v>
      </c>
      <c r="AG11" s="95">
        <f>GetNormed(tblNormula[[#This Row],[Formula]],"potassium")</f>
        <v>0.74390849944054593</v>
      </c>
      <c r="AH11" s="95">
        <f>GetNormed(tblNormula[[#This Row],[Formula]],"chloride")</f>
        <v>0.58160119047169956</v>
      </c>
      <c r="AI11" s="95">
        <f>GetNormed(tblNormula[[#This Row],[Formula]],"molybdenum")</f>
        <v>0</v>
      </c>
      <c r="AJ11" s="95">
        <f>GetNormed(tblNormula[[#This Row],[Formula]],"chromium")</f>
        <v>0</v>
      </c>
      <c r="AK11" s="95">
        <f>GetNormed(tblNormula[[#This Row],[Formula]],"carnitine")</f>
        <v>0</v>
      </c>
      <c r="AL11" s="95">
        <f>GetNormed(tblNormula[[#This Row],[Formula]],"taurine")</f>
        <v>0</v>
      </c>
    </row>
    <row r="12" spans="1:38" x14ac:dyDescent="0.25">
      <c r="A12" t="s">
        <v>251</v>
      </c>
      <c r="B12" s="95">
        <f>GetNormed(tblNormula[[#This Row],[Formula]],"calories")</f>
        <v>0.67628045403685999</v>
      </c>
      <c r="C12" s="95">
        <f>GetNormed(tblNormula[[#This Row],[Formula]],"protein")</f>
        <v>1.8935852713032077E-2</v>
      </c>
      <c r="D12" s="95">
        <f>GetNormed(tblNormula[[#This Row],[Formula]],"fat")</f>
        <v>3.5842864063953574E-2</v>
      </c>
      <c r="E12" s="95">
        <f>GetNormed(tblNormula[[#This Row],[Formula]],"CHO")</f>
        <v>6.965688676579658E-2</v>
      </c>
      <c r="F12" s="95">
        <f>GetNormed(tblNormula[[#This Row],[Formula]],"water")</f>
        <v>0.89945300386902372</v>
      </c>
      <c r="G12" s="95">
        <f>GetNormed(tblNormula[[#This Row],[Formula]],"linoleic acid")</f>
        <v>5.816011904716996</v>
      </c>
      <c r="H12" s="95">
        <f>GetNormed(tblNormula[[#This Row],[Formula]],"vit A")</f>
        <v>2.0288413621105801</v>
      </c>
      <c r="I12" s="95">
        <f>GetNormed(tblNormula[[#This Row],[Formula]],"vit D")</f>
        <v>0.33814022701843</v>
      </c>
      <c r="J12" s="95">
        <f>GetNormed(tblNormula[[#This Row],[Formula]],"vit E")</f>
        <v>1.3525609080737199E-2</v>
      </c>
      <c r="K12" s="95">
        <f>GetNormed(tblNormula[[#This Row],[Formula]],"vit K")</f>
        <v>5.4102436322948796E-2</v>
      </c>
      <c r="L12" s="95">
        <f>GetNormed(tblNormula[[#This Row],[Formula]],"thiamin")</f>
        <v>0.54102436322948799</v>
      </c>
      <c r="M12" s="95">
        <f>GetNormed(tblNormula[[#This Row],[Formula]],"riboflavin")</f>
        <v>0.60865240863317394</v>
      </c>
      <c r="N12" s="95">
        <f>GetNormed(tblNormula[[#This Row],[Formula]],"vit B6")</f>
        <v>0.40576827242211599</v>
      </c>
      <c r="O12" s="95">
        <f>GetNormed(tblNormula[[#This Row],[Formula]],"vit B12")</f>
        <v>2.0288413621105798E-3</v>
      </c>
      <c r="P12" s="95">
        <f>GetNormed(tblNormula[[#This Row],[Formula]],"niacin")</f>
        <v>6.7628045403685997</v>
      </c>
      <c r="Q12" s="95">
        <f>GetNormed(tblNormula[[#This Row],[Formula]],"folic acid")</f>
        <v>0.10820487264589759</v>
      </c>
      <c r="R12" s="95">
        <f>GetNormed(tblNormula[[#This Row],[Formula]],"pantothenic acid")</f>
        <v>3.3814022701842998</v>
      </c>
      <c r="S12" s="95">
        <f>GetNormed(tblNormula[[#This Row],[Formula]],"biotin")</f>
        <v>2.02884136211058E-2</v>
      </c>
      <c r="T12" s="95">
        <f>GetNormed(tblNormula[[#This Row],[Formula]],"vit C")</f>
        <v>8.1153654484423202E-2</v>
      </c>
      <c r="U12" s="95">
        <f>GetNormed(tblNormula[[#This Row],[Formula]],"choline")</f>
        <v>0.1623073089688464</v>
      </c>
      <c r="V12" s="95">
        <f>GetNormed(tblNormula[[#This Row],[Formula]],"inositol")</f>
        <v>0.11496767718626619</v>
      </c>
      <c r="W12" s="95">
        <f>GetNormed(tblNormula[[#This Row],[Formula]],"calcium")</f>
        <v>0.63570362679464831</v>
      </c>
      <c r="X12" s="95">
        <f>GetNormed(tblNormula[[#This Row],[Formula]],"phosphorus")</f>
        <v>0.35166583609916718</v>
      </c>
      <c r="Y12" s="95">
        <f>GetNormed(tblNormula[[#This Row],[Formula]],"magnesium")</f>
        <v>7.4390849944054593E-2</v>
      </c>
      <c r="Z12" s="95">
        <f>GetNormed(tblNormula[[#This Row],[Formula]],"iron")</f>
        <v>1.217304817266348E-2</v>
      </c>
      <c r="AA12" s="95">
        <f>GetNormed(tblNormula[[#This Row],[Formula]],"zinc")</f>
        <v>6.7628045403685996E-3</v>
      </c>
      <c r="AB12" s="95">
        <f>GetNormed(tblNormula[[#This Row],[Formula]],"manganese")</f>
        <v>0.40576827242211599</v>
      </c>
      <c r="AC12" s="95">
        <f>GetNormed(tblNormula[[#This Row],[Formula]],"copper")</f>
        <v>0.50721034052764502</v>
      </c>
      <c r="AD12" s="95">
        <f>GetNormed(tblNormula[[#This Row],[Formula]],"iodine")</f>
        <v>0.101442068105529</v>
      </c>
      <c r="AE12" s="95">
        <f>GetNormed(tblNormula[[#This Row],[Formula]],"selenium")</f>
        <v>1.8935852713032077E-2</v>
      </c>
      <c r="AF12" s="95">
        <f>GetNormed(tblNormula[[#This Row],[Formula]],"sodium")</f>
        <v>0.31785181339732416</v>
      </c>
      <c r="AG12" s="95">
        <f>GetNormed(tblNormula[[#This Row],[Formula]],"potassium")</f>
        <v>0.74390849944054593</v>
      </c>
      <c r="AH12" s="95">
        <f>GetNormed(tblNormula[[#This Row],[Formula]],"chloride")</f>
        <v>0.58160119047169956</v>
      </c>
      <c r="AI12" s="95">
        <f>GetNormed(tblNormula[[#This Row],[Formula]],"molybdenum")</f>
        <v>0</v>
      </c>
      <c r="AJ12" s="95">
        <f>GetNormed(tblNormula[[#This Row],[Formula]],"chromium")</f>
        <v>0</v>
      </c>
      <c r="AK12" s="95">
        <f>GetNormed(tblNormula[[#This Row],[Formula]],"carnitine")</f>
        <v>1.3525609080737199E-2</v>
      </c>
      <c r="AL12" s="95">
        <f>GetNormed(tblNormula[[#This Row],[Formula]],"taurine")</f>
        <v>4.0576827242211601E-2</v>
      </c>
    </row>
    <row r="13" spans="1:38" x14ac:dyDescent="0.25">
      <c r="A13" t="s">
        <v>221</v>
      </c>
      <c r="B13" s="95">
        <f>GetNormed(tblNormula[[#This Row],[Formula]],"calories")</f>
        <v>0.63800042833666049</v>
      </c>
      <c r="C13" s="95">
        <f>GetNormed(tblNormula[[#This Row],[Formula]],"protein")</f>
        <v>1.320660886656887E-2</v>
      </c>
      <c r="D13" s="95">
        <f>GetNormed(tblNormula[[#This Row],[Formula]],"fat")</f>
        <v>3.5728023986852986E-2</v>
      </c>
      <c r="E13" s="95">
        <f>GetNormed(tblNormula[[#This Row],[Formula]],"CHO")</f>
        <v>6.8266045832022657E-2</v>
      </c>
      <c r="F13" s="95">
        <f>GetNormed(tblNormula[[#This Row],[Formula]],"water")</f>
        <v>0.89958060395469119</v>
      </c>
      <c r="G13" s="95">
        <f>GetNormed(tblNormula[[#This Row],[Formula]],"linoleic acid")</f>
        <v>6.3800042833666044</v>
      </c>
      <c r="H13" s="95">
        <f>GetNormed(tblNormula[[#This Row],[Formula]],"vit A")</f>
        <v>1.9140012850099812</v>
      </c>
      <c r="I13" s="95">
        <f>GetNormed(tblNormula[[#This Row],[Formula]],"vit D")</f>
        <v>0.47850032125249531</v>
      </c>
      <c r="J13" s="95">
        <f>GetNormed(tblNormula[[#This Row],[Formula]],"vit E")</f>
        <v>9.5700064250499074E-3</v>
      </c>
      <c r="K13" s="95">
        <f>GetNormed(tblNormula[[#This Row],[Formula]],"vit K")</f>
        <v>5.1040034266932835E-2</v>
      </c>
      <c r="L13" s="95">
        <f>GetNormed(tblNormula[[#This Row],[Formula]],"thiamin")</f>
        <v>0.63800042833666049</v>
      </c>
      <c r="M13" s="95">
        <f>GetNormed(tblNormula[[#This Row],[Formula]],"riboflavin")</f>
        <v>1.0208006853386566</v>
      </c>
      <c r="N13" s="95">
        <f>GetNormed(tblNormula[[#This Row],[Formula]],"vit B6")</f>
        <v>0.40194026985209608</v>
      </c>
      <c r="O13" s="95">
        <f>GetNormed(tblNormula[[#This Row],[Formula]],"vit B12")</f>
        <v>1.6588011136753173E-3</v>
      </c>
      <c r="P13" s="95">
        <f>GetNormed(tblNormula[[#This Row],[Formula]],"niacin")</f>
        <v>7.0180047117032647</v>
      </c>
      <c r="Q13" s="95">
        <f>GetNormed(tblNormula[[#This Row],[Formula]],"folic acid")</f>
        <v>0.10208006853386567</v>
      </c>
      <c r="R13" s="95">
        <f>GetNormed(tblNormula[[#This Row],[Formula]],"pantothenic acid")</f>
        <v>2.9986020131823041</v>
      </c>
      <c r="S13" s="95">
        <f>GetNormed(tblNormula[[#This Row],[Formula]],"biotin")</f>
        <v>2.934801970348638E-2</v>
      </c>
      <c r="T13" s="95">
        <f>GetNormed(tblNormula[[#This Row],[Formula]],"vit C")</f>
        <v>5.7420038550299438E-2</v>
      </c>
      <c r="U13" s="95">
        <f>GetNormed(tblNormula[[#This Row],[Formula]],"choline")</f>
        <v>0.15312010280079852</v>
      </c>
      <c r="V13" s="95">
        <f>GetNormed(tblNormula[[#This Row],[Formula]],"inositol")</f>
        <v>3.1262020988496363E-2</v>
      </c>
      <c r="W13" s="95">
        <f>GetNormed(tblNormula[[#This Row],[Formula]],"calcium")</f>
        <v>0.52316035123606153</v>
      </c>
      <c r="X13" s="95">
        <f>GetNormed(tblNormula[[#This Row],[Formula]],"phosphorus")</f>
        <v>0.28072018846813057</v>
      </c>
      <c r="Y13" s="95">
        <f>GetNormed(tblNormula[[#This Row],[Formula]],"magnesium")</f>
        <v>3.828002570019963E-2</v>
      </c>
      <c r="Z13" s="95">
        <f>GetNormed(tblNormula[[#This Row],[Formula]],"iron")</f>
        <v>1.2122008138396548E-2</v>
      </c>
      <c r="AA13" s="95">
        <f>GetNormed(tblNormula[[#This Row],[Formula]],"zinc")</f>
        <v>5.0402033838596177E-3</v>
      </c>
      <c r="AB13" s="95">
        <f>GetNormed(tblNormula[[#This Row],[Formula]],"manganese")</f>
        <v>3.190002141683302E-2</v>
      </c>
      <c r="AC13" s="95">
        <f>GetNormed(tblNormula[[#This Row],[Formula]],"copper")</f>
        <v>0.60610040691982747</v>
      </c>
      <c r="AD13" s="95">
        <f>GetNormed(tblNormula[[#This Row],[Formula]],"iodine")</f>
        <v>3.828002570019963E-2</v>
      </c>
      <c r="AE13" s="95">
        <f>GetNormed(tblNormula[[#This Row],[Formula]],"selenium")</f>
        <v>1.2760008566733209E-2</v>
      </c>
      <c r="AF13" s="95">
        <f>GetNormed(tblNormula[[#This Row],[Formula]],"sodium")</f>
        <v>0.15950010708416512</v>
      </c>
      <c r="AG13" s="95">
        <f>GetNormed(tblNormula[[#This Row],[Formula]],"potassium")</f>
        <v>0.70180047117032651</v>
      </c>
      <c r="AH13" s="95">
        <f>GetNormed(tblNormula[[#This Row],[Formula]],"chloride")</f>
        <v>0.43384029126892909</v>
      </c>
      <c r="AI13" s="95">
        <f>GetNormed(tblNormula[[#This Row],[Formula]],"molybdenum")</f>
        <v>0</v>
      </c>
      <c r="AJ13" s="95">
        <f>GetNormed(tblNormula[[#This Row],[Formula]],"chromium")</f>
        <v>0</v>
      </c>
      <c r="AK13" s="95">
        <f>GetNormed(tblNormula[[#This Row],[Formula]],"carnitine")</f>
        <v>0</v>
      </c>
      <c r="AL13" s="95">
        <f>GetNormed(tblNormula[[#This Row],[Formula]],"taurine")</f>
        <v>0</v>
      </c>
    </row>
    <row r="14" spans="1:38" x14ac:dyDescent="0.25">
      <c r="A14" t="s">
        <v>219</v>
      </c>
      <c r="B14" s="95">
        <f>GetNormed(tblNormula[[#This Row],[Formula]],"calories")</f>
        <v>0.67600000000000005</v>
      </c>
      <c r="C14" s="95">
        <f>GetNormed(tblNormula[[#This Row],[Formula]],"protein")</f>
        <v>1.4E-2</v>
      </c>
      <c r="D14" s="95">
        <f>GetNormed(tblNormula[[#This Row],[Formula]],"fat")</f>
        <v>3.78E-2</v>
      </c>
      <c r="E14" s="95">
        <f>GetNormed(tblNormula[[#This Row],[Formula]],"CHO")</f>
        <v>7.2400000000000006E-2</v>
      </c>
      <c r="F14" s="95">
        <f>GetNormed(tblNormula[[#This Row],[Formula]],"water")</f>
        <v>0.89900000000000002</v>
      </c>
      <c r="G14" s="95">
        <f>GetNormed(tblNormula[[#This Row],[Formula]],"linoleic acid")</f>
        <v>6.7569999999999997</v>
      </c>
      <c r="H14" s="95">
        <f>GetNormed(tblNormula[[#This Row],[Formula]],"vit A")</f>
        <v>2.0289999999999999</v>
      </c>
      <c r="I14" s="95">
        <f>GetNormed(tblNormula[[#This Row],[Formula]],"vit D")</f>
        <v>0.50700000000000001</v>
      </c>
      <c r="J14" s="95">
        <f>GetNormed(tblNormula[[#This Row],[Formula]],"vit E")</f>
        <v>1.01E-2</v>
      </c>
      <c r="K14" s="95">
        <f>GetNormed(tblNormula[[#This Row],[Formula]],"vit K")</f>
        <v>5.3999999999999999E-2</v>
      </c>
      <c r="L14" s="95">
        <f>GetNormed(tblNormula[[#This Row],[Formula]],"thiamin")</f>
        <v>0.67600000000000005</v>
      </c>
      <c r="M14" s="95">
        <f>GetNormed(tblNormula[[#This Row],[Formula]],"riboflavin")</f>
        <v>1.014</v>
      </c>
      <c r="N14" s="95">
        <f>GetNormed(tblNormula[[#This Row],[Formula]],"vit B6")</f>
        <v>0.40600000000000003</v>
      </c>
      <c r="O14" s="95">
        <f>GetNormed(tblNormula[[#This Row],[Formula]],"vit B12")</f>
        <v>1.6899999999999999E-3</v>
      </c>
      <c r="P14" s="95">
        <f>GetNormed(tblNormula[[#This Row],[Formula]],"niacin")</f>
        <v>7.101</v>
      </c>
      <c r="Q14" s="95">
        <f>GetNormed(tblNormula[[#This Row],[Formula]],"folic acid")</f>
        <v>0.10100000000000001</v>
      </c>
      <c r="R14" s="95">
        <f>GetNormed(tblNormula[[#This Row],[Formula]],"pantothenic acid")</f>
        <v>3.0430000000000001</v>
      </c>
      <c r="S14" s="95">
        <f>GetNormed(tblNormula[[#This Row],[Formula]],"biotin")</f>
        <v>2.98E-2</v>
      </c>
      <c r="T14" s="95">
        <f>GetNormed(tblNormula[[#This Row],[Formula]],"vit C")</f>
        <v>6.0999999999999999E-2</v>
      </c>
      <c r="U14" s="95">
        <f>GetNormed(tblNormula[[#This Row],[Formula]],"choline")</f>
        <v>0.108</v>
      </c>
      <c r="V14" s="95">
        <f>GetNormed(tblNormula[[#This Row],[Formula]],"inositol")</f>
        <v>3.1800000000000002E-2</v>
      </c>
      <c r="W14" s="95">
        <f>GetNormed(tblNormula[[#This Row],[Formula]],"calcium")</f>
        <v>0.52800000000000002</v>
      </c>
      <c r="X14" s="95">
        <f>GetNormed(tblNormula[[#This Row],[Formula]],"phosphorus")</f>
        <v>0.28399999999999997</v>
      </c>
      <c r="Y14" s="95">
        <f>GetNormed(tblNormula[[#This Row],[Formula]],"magnesium")</f>
        <v>4.1000000000000002E-2</v>
      </c>
      <c r="Z14" s="95">
        <f>GetNormed(tblNormula[[#This Row],[Formula]],"iron")</f>
        <v>1.2E-2</v>
      </c>
      <c r="AA14" s="95">
        <f>GetNormed(tblNormula[[#This Row],[Formula]],"zinc")</f>
        <v>5.0699999999999999E-3</v>
      </c>
      <c r="AB14" s="95">
        <f>GetNormed(tblNormula[[#This Row],[Formula]],"manganese")</f>
        <v>3.4000000000000002E-2</v>
      </c>
      <c r="AC14" s="95">
        <f>GetNormed(tblNormula[[#This Row],[Formula]],"copper")</f>
        <v>0.60899999999999999</v>
      </c>
      <c r="AD14" s="95">
        <f>GetNormed(tblNormula[[#This Row],[Formula]],"iodine")</f>
        <v>4.1000000000000002E-2</v>
      </c>
      <c r="AE14" s="95">
        <f>GetNormed(tblNormula[[#This Row],[Formula]],"selenium")</f>
        <v>1.4E-2</v>
      </c>
      <c r="AF14" s="95">
        <f>GetNormed(tblNormula[[#This Row],[Formula]],"sodium")</f>
        <v>0.16200000000000001</v>
      </c>
      <c r="AG14" s="95">
        <f>GetNormed(tblNormula[[#This Row],[Formula]],"potassium")</f>
        <v>0.71</v>
      </c>
      <c r="AH14" s="95">
        <f>GetNormed(tblNormula[[#This Row],[Formula]],"chloride")</f>
        <v>0.44</v>
      </c>
      <c r="AI14" s="95">
        <f>GetNormed(tblNormula[[#This Row],[Formula]],"molybdenum")</f>
        <v>0</v>
      </c>
      <c r="AJ14" s="95">
        <f>GetNormed(tblNormula[[#This Row],[Formula]],"chromium")</f>
        <v>0</v>
      </c>
      <c r="AK14" s="95">
        <f>GetNormed(tblNormula[[#This Row],[Formula]],"carnitine")</f>
        <v>0</v>
      </c>
      <c r="AL14" s="95">
        <f>GetNormed(tblNormula[[#This Row],[Formula]],"taurine")</f>
        <v>0</v>
      </c>
    </row>
    <row r="15" spans="1:38" x14ac:dyDescent="0.25">
      <c r="A15" t="s">
        <v>248</v>
      </c>
      <c r="B15" s="95">
        <f>GetNormed(tblNormula[[#This Row],[Formula]],"calories")</f>
        <v>0.64300000000000002</v>
      </c>
      <c r="C15" s="95">
        <f>GetNormed(tblNormula[[#This Row],[Formula]],"protein")</f>
        <v>1.35E-2</v>
      </c>
      <c r="D15" s="95">
        <f>GetNormed(tblNormula[[#This Row],[Formula]],"fat")</f>
        <v>3.4729999999999997E-2</v>
      </c>
      <c r="E15" s="95">
        <f>GetNormed(tblNormula[[#This Row],[Formula]],"CHO")</f>
        <v>7.1400000000000005E-2</v>
      </c>
      <c r="F15" s="95">
        <f>GetNormed(tblNormula[[#This Row],[Formula]],"water")</f>
        <v>0.9</v>
      </c>
      <c r="G15" s="95">
        <f>GetNormed(tblNormula[[#This Row],[Formula]],"linoleic acid")</f>
        <v>6.431</v>
      </c>
      <c r="H15" s="95">
        <f>GetNormed(tblNormula[[#This Row],[Formula]],"vit A")</f>
        <v>1.929</v>
      </c>
      <c r="I15" s="95">
        <f>GetNormed(tblNormula[[#This Row],[Formula]],"vit D")</f>
        <v>0.38600000000000001</v>
      </c>
      <c r="J15" s="95">
        <f>GetNormed(tblNormula[[#This Row],[Formula]],"vit E")</f>
        <v>9.5999999999999992E-3</v>
      </c>
      <c r="K15" s="95">
        <f>GetNormed(tblNormula[[#This Row],[Formula]],"vit K")</f>
        <v>5.0999999999999997E-2</v>
      </c>
      <c r="L15" s="95">
        <f>GetNormed(tblNormula[[#This Row],[Formula]],"thiamin")</f>
        <v>0.64300000000000002</v>
      </c>
      <c r="M15" s="95">
        <f>GetNormed(tblNormula[[#This Row],[Formula]],"riboflavin")</f>
        <v>1.0289999999999999</v>
      </c>
      <c r="N15" s="95">
        <f>GetNormed(tblNormula[[#This Row],[Formula]],"vit B6")</f>
        <v>0.40500000000000003</v>
      </c>
      <c r="O15" s="95">
        <f>GetNormed(tblNormula[[#This Row],[Formula]],"vit B12")</f>
        <v>1.6699999999999998E-3</v>
      </c>
      <c r="P15" s="95">
        <f>GetNormed(tblNormula[[#This Row],[Formula]],"niacin")</f>
        <v>7.0739999999999998</v>
      </c>
      <c r="Q15" s="95">
        <f>GetNormed(tblNormula[[#This Row],[Formula]],"folic acid")</f>
        <v>0.10299999999999999</v>
      </c>
      <c r="R15" s="95">
        <f>GetNormed(tblNormula[[#This Row],[Formula]],"pantothenic acid")</f>
        <v>3.0230000000000001</v>
      </c>
      <c r="S15" s="95">
        <f>GetNormed(tblNormula[[#This Row],[Formula]],"biotin")</f>
        <v>2.9600000000000001E-2</v>
      </c>
      <c r="T15" s="95">
        <f>GetNormed(tblNormula[[#This Row],[Formula]],"vit C")</f>
        <v>5.8000000000000003E-2</v>
      </c>
      <c r="U15" s="95">
        <f>GetNormed(tblNormula[[#This Row],[Formula]],"choline")</f>
        <v>0.154</v>
      </c>
      <c r="V15" s="95">
        <f>GetNormed(tblNormula[[#This Row],[Formula]],"inositol")</f>
        <v>2.8899999999999999E-2</v>
      </c>
      <c r="W15" s="95">
        <f>GetNormed(tblNormula[[#This Row],[Formula]],"calcium")</f>
        <v>0.56599999999999995</v>
      </c>
      <c r="X15" s="95">
        <f>GetNormed(tblNormula[[#This Row],[Formula]],"phosphorus")</f>
        <v>0.379</v>
      </c>
      <c r="Y15" s="95">
        <f>GetNormed(tblNormula[[#This Row],[Formula]],"magnesium")</f>
        <v>3.8600000000000002E-2</v>
      </c>
      <c r="Z15" s="95">
        <f>GetNormed(tblNormula[[#This Row],[Formula]],"iron")</f>
        <v>1.2199999999999999E-2</v>
      </c>
      <c r="AA15" s="95">
        <f>GetNormed(tblNormula[[#This Row],[Formula]],"zinc")</f>
        <v>5.0800000000000003E-3</v>
      </c>
      <c r="AB15" s="95">
        <f>GetNormed(tblNormula[[#This Row],[Formula]],"manganese")</f>
        <v>3.2000000000000001E-2</v>
      </c>
      <c r="AC15" s="95">
        <f>GetNormed(tblNormula[[#This Row],[Formula]],"copper")</f>
        <v>0.61099999999999999</v>
      </c>
      <c r="AD15" s="95">
        <f>GetNormed(tblNormula[[#This Row],[Formula]],"iodine")</f>
        <v>5.8000000000000003E-2</v>
      </c>
      <c r="AE15" s="95">
        <f>GetNormed(tblNormula[[#This Row],[Formula]],"selenium")</f>
        <v>1.2999999999999999E-2</v>
      </c>
      <c r="AF15" s="95">
        <f>GetNormed(tblNormula[[#This Row],[Formula]],"sodium")</f>
        <v>0.20599999999999999</v>
      </c>
      <c r="AG15" s="95">
        <f>GetNormed(tblNormula[[#This Row],[Formula]],"potassium")</f>
        <v>0.70699999999999996</v>
      </c>
      <c r="AH15" s="95">
        <f>GetNormed(tblNormula[[#This Row],[Formula]],"chloride")</f>
        <v>0.437</v>
      </c>
      <c r="AI15" s="95">
        <f>GetNormed(tblNormula[[#This Row],[Formula]],"molybdenum")</f>
        <v>0</v>
      </c>
      <c r="AJ15" s="95">
        <f>GetNormed(tblNormula[[#This Row],[Formula]],"chromium")</f>
        <v>0</v>
      </c>
      <c r="AK15" s="95">
        <f>GetNormed(tblNormula[[#This Row],[Formula]],"carnitine")</f>
        <v>0</v>
      </c>
      <c r="AL15" s="95">
        <f>GetNormed(tblNormula[[#This Row],[Formula]],"taurine")</f>
        <v>0</v>
      </c>
    </row>
    <row r="16" spans="1:38" x14ac:dyDescent="0.25">
      <c r="A16" t="s">
        <v>249</v>
      </c>
      <c r="B16" s="95">
        <f>GetNormed(tblNormula[[#This Row],[Formula]],"calories")</f>
        <v>0.67600000000000005</v>
      </c>
      <c r="C16" s="95">
        <f>GetNormed(tblNormula[[#This Row],[Formula]],"protein")</f>
        <v>1.447E-2</v>
      </c>
      <c r="D16" s="95">
        <f>GetNormed(tblNormula[[#This Row],[Formula]],"fat")</f>
        <v>3.6520000000000004E-2</v>
      </c>
      <c r="E16" s="95">
        <f>GetNormed(tblNormula[[#This Row],[Formula]],"CHO")</f>
        <v>7.51E-2</v>
      </c>
      <c r="F16" s="95">
        <f>GetNormed(tblNormula[[#This Row],[Formula]],"water")</f>
        <v>0.89900000000000002</v>
      </c>
      <c r="G16" s="95">
        <f>GetNormed(tblNormula[[#This Row],[Formula]],"linoleic acid")</f>
        <v>6.7629999999999999</v>
      </c>
      <c r="H16" s="95">
        <f>GetNormed(tblNormula[[#This Row],[Formula]],"vit A")</f>
        <v>2.0289999999999999</v>
      </c>
      <c r="I16" s="95">
        <f>GetNormed(tblNormula[[#This Row],[Formula]],"vit D")</f>
        <v>0.40600000000000003</v>
      </c>
      <c r="J16" s="95">
        <f>GetNormed(tblNormula[[#This Row],[Formula]],"vit E")</f>
        <v>2.0300000000000002E-2</v>
      </c>
      <c r="K16" s="95">
        <f>GetNormed(tblNormula[[#This Row],[Formula]],"vit K")</f>
        <v>5.3999999999999999E-2</v>
      </c>
      <c r="L16" s="95">
        <f>GetNormed(tblNormula[[#This Row],[Formula]],"thiamin")</f>
        <v>0.67600000000000005</v>
      </c>
      <c r="M16" s="95">
        <f>GetNormed(tblNormula[[#This Row],[Formula]],"riboflavin")</f>
        <v>1.014</v>
      </c>
      <c r="N16" s="95">
        <f>GetNormed(tblNormula[[#This Row],[Formula]],"vit B6")</f>
        <v>0.40600000000000003</v>
      </c>
      <c r="O16" s="95">
        <f>GetNormed(tblNormula[[#This Row],[Formula]],"vit B12")</f>
        <v>1.6899999999999999E-3</v>
      </c>
      <c r="P16" s="95">
        <f>GetNormed(tblNormula[[#This Row],[Formula]],"niacin")</f>
        <v>7.101</v>
      </c>
      <c r="Q16" s="95">
        <f>GetNormed(tblNormula[[#This Row],[Formula]],"folic acid")</f>
        <v>0.10100000000000001</v>
      </c>
      <c r="R16" s="95">
        <f>GetNormed(tblNormula[[#This Row],[Formula]],"pantothenic acid")</f>
        <v>3.0430000000000001</v>
      </c>
      <c r="S16" s="95">
        <f>GetNormed(tblNormula[[#This Row],[Formula]],"biotin")</f>
        <v>2.98E-2</v>
      </c>
      <c r="T16" s="95">
        <f>GetNormed(tblNormula[[#This Row],[Formula]],"vit C")</f>
        <v>6.0999999999999999E-2</v>
      </c>
      <c r="U16" s="95">
        <f>GetNormed(tblNormula[[#This Row],[Formula]],"choline")</f>
        <v>0.108</v>
      </c>
      <c r="V16" s="95">
        <f>GetNormed(tblNormula[[#This Row],[Formula]],"inositol")</f>
        <v>2.9100000000000001E-2</v>
      </c>
      <c r="W16" s="95">
        <f>GetNormed(tblNormula[[#This Row],[Formula]],"calcium")</f>
        <v>0.56799999999999995</v>
      </c>
      <c r="X16" s="95">
        <f>GetNormed(tblNormula[[#This Row],[Formula]],"phosphorus")</f>
        <v>0.379</v>
      </c>
      <c r="Y16" s="95">
        <f>GetNormed(tblNormula[[#This Row],[Formula]],"magnesium")</f>
        <v>4.0600000000000004E-2</v>
      </c>
      <c r="Z16" s="95">
        <f>GetNormed(tblNormula[[#This Row],[Formula]],"iron")</f>
        <v>1.2199999999999999E-2</v>
      </c>
      <c r="AA16" s="95">
        <f>GetNormed(tblNormula[[#This Row],[Formula]],"zinc")</f>
        <v>5.0699999999999999E-3</v>
      </c>
      <c r="AB16" s="95">
        <f>GetNormed(tblNormula[[#This Row],[Formula]],"manganese")</f>
        <v>3.4000000000000002E-2</v>
      </c>
      <c r="AC16" s="95">
        <f>GetNormed(tblNormula[[#This Row],[Formula]],"copper")</f>
        <v>0.60899999999999999</v>
      </c>
      <c r="AD16" s="95">
        <f>GetNormed(tblNormula[[#This Row],[Formula]],"iodine")</f>
        <v>6.0999999999999999E-2</v>
      </c>
      <c r="AE16" s="95">
        <f>GetNormed(tblNormula[[#This Row],[Formula]],"selenium")</f>
        <v>1.4E-2</v>
      </c>
      <c r="AF16" s="95">
        <f>GetNormed(tblNormula[[#This Row],[Formula]],"sodium")</f>
        <v>0.20300000000000001</v>
      </c>
      <c r="AG16" s="95">
        <f>GetNormed(tblNormula[[#This Row],[Formula]],"potassium")</f>
        <v>0.72399999999999998</v>
      </c>
      <c r="AH16" s="95">
        <f>GetNormed(tblNormula[[#This Row],[Formula]],"chloride")</f>
        <v>0.44</v>
      </c>
      <c r="AI16" s="95">
        <f>GetNormed(tblNormula[[#This Row],[Formula]],"molybdenum")</f>
        <v>0</v>
      </c>
      <c r="AJ16" s="95">
        <f>GetNormed(tblNormula[[#This Row],[Formula]],"chromium")</f>
        <v>0</v>
      </c>
      <c r="AK16" s="95">
        <f>GetNormed(tblNormula[[#This Row],[Formula]],"carnitine")</f>
        <v>0</v>
      </c>
      <c r="AL16" s="95">
        <f>GetNormed(tblNormula[[#This Row],[Formula]],"taurine")</f>
        <v>0</v>
      </c>
    </row>
    <row r="17" spans="1:38" x14ac:dyDescent="0.25">
      <c r="A17" t="s">
        <v>233</v>
      </c>
      <c r="B17" s="95">
        <f>GetNormed(tblNormula[[#This Row],[Formula]],"calories")</f>
        <v>0.81200000000000006</v>
      </c>
      <c r="C17" s="95">
        <f>GetNormed(tblNormula[[#This Row],[Formula]],"protein")</f>
        <v>2.4340000000000001E-2</v>
      </c>
      <c r="D17" s="95">
        <f>GetNormed(tblNormula[[#This Row],[Formula]],"fat")</f>
        <v>4.4069999999999998E-2</v>
      </c>
      <c r="E17" s="95">
        <f>GetNormed(tblNormula[[#This Row],[Formula]],"CHO")</f>
        <v>8.3599999999999994E-2</v>
      </c>
      <c r="F17" s="95">
        <f>GetNormed(tblNormula[[#This Row],[Formula]],"water")</f>
        <v>0.88500000000000001</v>
      </c>
      <c r="G17" s="95">
        <f>GetNormed(tblNormula[[#This Row],[Formula]],"linoleic acid")</f>
        <v>5.681</v>
      </c>
      <c r="H17" s="95">
        <f>GetNormed(tblNormula[[#This Row],[Formula]],"vit A")</f>
        <v>10.144</v>
      </c>
      <c r="I17" s="95">
        <f>GetNormed(tblNormula[[#This Row],[Formula]],"vit D")</f>
        <v>1.2170000000000001</v>
      </c>
      <c r="J17" s="95">
        <f>GetNormed(tblNormula[[#This Row],[Formula]],"vit E")</f>
        <v>3.2500000000000001E-2</v>
      </c>
      <c r="K17" s="95">
        <f>GetNormed(tblNormula[[#This Row],[Formula]],"vit K")</f>
        <v>9.74E-2</v>
      </c>
      <c r="L17" s="95">
        <f>GetNormed(tblNormula[[#This Row],[Formula]],"thiamin")</f>
        <v>2.0289999999999999</v>
      </c>
      <c r="M17" s="95">
        <f>GetNormed(tblNormula[[#This Row],[Formula]],"riboflavin")</f>
        <v>5.032</v>
      </c>
      <c r="N17" s="95">
        <f>GetNormed(tblNormula[[#This Row],[Formula]],"vit B6")</f>
        <v>2.0289999999999999</v>
      </c>
      <c r="O17" s="95">
        <f>GetNormed(tblNormula[[#This Row],[Formula]],"vit B12")</f>
        <v>4.4599999999999996E-3</v>
      </c>
      <c r="P17" s="95">
        <f>GetNormed(tblNormula[[#This Row],[Formula]],"niacin")</f>
        <v>40.578000000000003</v>
      </c>
      <c r="Q17" s="95">
        <f>GetNormed(tblNormula[[#This Row],[Formula]],"folic acid")</f>
        <v>0.3</v>
      </c>
      <c r="R17" s="95">
        <f>GetNormed(tblNormula[[#This Row],[Formula]],"pantothenic acid")</f>
        <v>15.419</v>
      </c>
      <c r="S17" s="95">
        <f>GetNormed(tblNormula[[#This Row],[Formula]],"biotin")</f>
        <v>0.3</v>
      </c>
      <c r="T17" s="95">
        <f>GetNormed(tblNormula[[#This Row],[Formula]],"vit C")</f>
        <v>0.3</v>
      </c>
      <c r="U17" s="95">
        <f>GetNormed(tblNormula[[#This Row],[Formula]],"choline")</f>
        <v>8.1000000000000003E-2</v>
      </c>
      <c r="V17" s="95">
        <f>GetNormed(tblNormula[[#This Row],[Formula]],"inositol")</f>
        <v>0.32500000000000001</v>
      </c>
      <c r="W17" s="95">
        <f>GetNormed(tblNormula[[#This Row],[Formula]],"calcium")</f>
        <v>1.4610000000000001</v>
      </c>
      <c r="X17" s="95">
        <f>GetNormed(tblNormula[[#This Row],[Formula]],"phosphorus")</f>
        <v>0.81200000000000006</v>
      </c>
      <c r="Y17" s="95">
        <f>GetNormed(tblNormula[[#This Row],[Formula]],"magnesium")</f>
        <v>9.74E-2</v>
      </c>
      <c r="Z17" s="95">
        <f>GetNormed(tblNormula[[#This Row],[Formula]],"iron")</f>
        <v>1.46E-2</v>
      </c>
      <c r="AA17" s="95">
        <f>GetNormed(tblNormula[[#This Row],[Formula]],"zinc")</f>
        <v>1.217E-2</v>
      </c>
      <c r="AB17" s="95">
        <f>GetNormed(tblNormula[[#This Row],[Formula]],"manganese")</f>
        <v>9.7000000000000003E-2</v>
      </c>
      <c r="AC17" s="95">
        <f>GetNormed(tblNormula[[#This Row],[Formula]],"copper")</f>
        <v>2.0289999999999999</v>
      </c>
      <c r="AD17" s="95">
        <f>GetNormed(tblNormula[[#This Row],[Formula]],"iodine")</f>
        <v>4.9000000000000002E-2</v>
      </c>
      <c r="AE17" s="95">
        <f>GetNormed(tblNormula[[#This Row],[Formula]],"selenium")</f>
        <v>1.6E-2</v>
      </c>
      <c r="AF17" s="95">
        <f>GetNormed(tblNormula[[#This Row],[Formula]],"sodium")</f>
        <v>0.34899999999999998</v>
      </c>
      <c r="AG17" s="95">
        <f>GetNormed(tblNormula[[#This Row],[Formula]],"potassium")</f>
        <v>1.0469999999999999</v>
      </c>
      <c r="AH17" s="95">
        <f>GetNormed(tblNormula[[#This Row],[Formula]],"chloride")</f>
        <v>0.65700000000000003</v>
      </c>
      <c r="AI17" s="95">
        <f>GetNormed(tblNormula[[#This Row],[Formula]],"molybdenum")</f>
        <v>0</v>
      </c>
      <c r="AJ17" s="95">
        <f>GetNormed(tblNormula[[#This Row],[Formula]],"chromium")</f>
        <v>0</v>
      </c>
      <c r="AK17" s="95">
        <f>GetNormed(tblNormula[[#This Row],[Formula]],"carnitine")</f>
        <v>0</v>
      </c>
      <c r="AL17" s="95">
        <f>GetNormed(tblNormula[[#This Row],[Formula]],"taurine")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0"/>
  <sheetViews>
    <sheetView workbookViewId="0">
      <selection activeCell="C26" sqref="C26"/>
    </sheetView>
  </sheetViews>
  <sheetFormatPr defaultRowHeight="15" x14ac:dyDescent="0.25"/>
  <cols>
    <col min="1" max="1" width="15.85546875" bestFit="1" customWidth="1"/>
    <col min="2" max="2" width="8.28515625" customWidth="1"/>
    <col min="4" max="4" width="7.140625" customWidth="1"/>
    <col min="5" max="5" width="12" customWidth="1"/>
    <col min="7" max="7" width="18.5703125" customWidth="1"/>
    <col min="8" max="8" width="8.85546875" customWidth="1"/>
    <col min="9" max="9" width="10" customWidth="1"/>
    <col min="10" max="10" width="9.5703125" customWidth="1"/>
    <col min="13" max="13" width="17.7109375" customWidth="1"/>
    <col min="14" max="14" width="10.5703125" customWidth="1"/>
    <col min="16" max="16" width="9" customWidth="1"/>
  </cols>
  <sheetData>
    <row r="1" spans="1:37" x14ac:dyDescent="0.25">
      <c r="A1" s="86" t="s">
        <v>180</v>
      </c>
      <c r="B1" s="44"/>
      <c r="C1" s="1"/>
      <c r="D1" s="86" t="s">
        <v>179</v>
      </c>
      <c r="E1" s="44"/>
      <c r="F1" s="1"/>
      <c r="G1" s="86" t="s">
        <v>178</v>
      </c>
      <c r="H1" s="44"/>
      <c r="I1" s="87" t="s">
        <v>154</v>
      </c>
      <c r="J1" s="44"/>
      <c r="L1" s="1"/>
      <c r="M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x14ac:dyDescent="0.25">
      <c r="A2" t="s">
        <v>48</v>
      </c>
      <c r="B2" t="s">
        <v>49</v>
      </c>
      <c r="C2" s="1"/>
      <c r="D2" s="2" t="s">
        <v>44</v>
      </c>
      <c r="E2" s="2" t="s">
        <v>43</v>
      </c>
      <c r="F2" s="1"/>
      <c r="G2" s="2" t="s">
        <v>163</v>
      </c>
      <c r="H2" s="2" t="s">
        <v>121</v>
      </c>
      <c r="I2" s="2" t="s">
        <v>155</v>
      </c>
      <c r="J2" s="2" t="s">
        <v>56</v>
      </c>
      <c r="K2" s="5"/>
      <c r="L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7" x14ac:dyDescent="0.25">
      <c r="A3" s="2" t="s">
        <v>9</v>
      </c>
      <c r="B3" s="1" t="s">
        <v>3</v>
      </c>
      <c r="D3" s="2" t="s">
        <v>2</v>
      </c>
      <c r="E3" s="2">
        <v>1</v>
      </c>
      <c r="G3" s="5" t="s">
        <v>131</v>
      </c>
      <c r="H3" s="5" t="s">
        <v>132</v>
      </c>
      <c r="I3" s="1">
        <v>59</v>
      </c>
      <c r="J3" s="1">
        <v>1</v>
      </c>
      <c r="K3" s="5"/>
    </row>
    <row r="4" spans="1:37" x14ac:dyDescent="0.25">
      <c r="A4" s="2" t="s">
        <v>8</v>
      </c>
      <c r="B4" s="1" t="s">
        <v>4</v>
      </c>
      <c r="D4" s="2" t="s">
        <v>45</v>
      </c>
      <c r="E4" s="2">
        <v>100</v>
      </c>
      <c r="G4" s="5" t="s">
        <v>126</v>
      </c>
      <c r="H4" s="5" t="s">
        <v>156</v>
      </c>
      <c r="I4" s="1">
        <v>27</v>
      </c>
      <c r="J4" s="1">
        <v>3</v>
      </c>
      <c r="K4" s="5"/>
    </row>
    <row r="5" spans="1:37" x14ac:dyDescent="0.25">
      <c r="A5" s="2" t="s">
        <v>7</v>
      </c>
      <c r="B5" s="1" t="s">
        <v>4</v>
      </c>
      <c r="D5" s="2" t="s">
        <v>46</v>
      </c>
      <c r="E5" s="2">
        <v>1000</v>
      </c>
      <c r="G5" s="5" t="s">
        <v>176</v>
      </c>
      <c r="H5" s="5" t="s">
        <v>177</v>
      </c>
      <c r="I5" s="1">
        <v>17</v>
      </c>
      <c r="J5" s="1">
        <v>1</v>
      </c>
      <c r="K5" s="5"/>
    </row>
    <row r="6" spans="1:37" x14ac:dyDescent="0.25">
      <c r="A6" s="2" t="s">
        <v>5</v>
      </c>
      <c r="B6" s="1" t="s">
        <v>4</v>
      </c>
      <c r="D6" s="2" t="s">
        <v>47</v>
      </c>
      <c r="E6" s="2">
        <f>CONVERT(1,"oz","ml")</f>
        <v>29.573529562499999</v>
      </c>
      <c r="G6" s="5" t="s">
        <v>127</v>
      </c>
      <c r="H6" s="5" t="s">
        <v>157</v>
      </c>
      <c r="I6" s="1">
        <v>18</v>
      </c>
      <c r="J6" s="1">
        <v>1</v>
      </c>
      <c r="K6" s="5"/>
    </row>
    <row r="7" spans="1:37" x14ac:dyDescent="0.25">
      <c r="A7" s="2" t="s">
        <v>6</v>
      </c>
      <c r="B7" s="1" t="s">
        <v>4</v>
      </c>
      <c r="G7" s="5" t="s">
        <v>133</v>
      </c>
      <c r="H7" s="5" t="s">
        <v>134</v>
      </c>
      <c r="I7" s="1">
        <v>61</v>
      </c>
      <c r="J7" s="1">
        <v>1</v>
      </c>
      <c r="K7" s="5"/>
    </row>
    <row r="8" spans="1:37" x14ac:dyDescent="0.25">
      <c r="A8" s="2" t="s">
        <v>10</v>
      </c>
      <c r="B8" s="1" t="s">
        <v>11</v>
      </c>
      <c r="G8" s="5" t="s">
        <v>29</v>
      </c>
      <c r="H8" s="5" t="s">
        <v>122</v>
      </c>
      <c r="I8" s="1">
        <v>40</v>
      </c>
      <c r="J8" s="1">
        <v>2</v>
      </c>
      <c r="K8" s="5"/>
    </row>
    <row r="9" spans="1:37" x14ac:dyDescent="0.25">
      <c r="A9" s="2" t="s">
        <v>12</v>
      </c>
      <c r="B9" s="1" t="s">
        <v>13</v>
      </c>
      <c r="G9" s="5" t="s">
        <v>135</v>
      </c>
      <c r="H9" s="5" t="s">
        <v>136</v>
      </c>
      <c r="I9" s="1">
        <v>60</v>
      </c>
      <c r="J9" s="1">
        <v>2</v>
      </c>
      <c r="K9" s="5"/>
    </row>
    <row r="10" spans="1:37" x14ac:dyDescent="0.25">
      <c r="A10" s="2" t="s">
        <v>14</v>
      </c>
      <c r="B10" s="1" t="s">
        <v>13</v>
      </c>
      <c r="G10" s="5" t="s">
        <v>40</v>
      </c>
      <c r="H10" s="5" t="s">
        <v>123</v>
      </c>
      <c r="I10" s="1">
        <v>35.5</v>
      </c>
      <c r="J10" s="1">
        <v>1</v>
      </c>
      <c r="K10" s="5"/>
    </row>
    <row r="11" spans="1:37" x14ac:dyDescent="0.25">
      <c r="A11" s="2" t="s">
        <v>15</v>
      </c>
      <c r="B11" s="1" t="s">
        <v>13</v>
      </c>
      <c r="G11" s="5" t="s">
        <v>137</v>
      </c>
      <c r="H11" s="5" t="s">
        <v>138</v>
      </c>
      <c r="I11" s="1">
        <v>189</v>
      </c>
      <c r="J11" s="1">
        <v>63</v>
      </c>
      <c r="K11" s="5"/>
    </row>
    <row r="12" spans="1:37" x14ac:dyDescent="0.25">
      <c r="A12" s="2" t="s">
        <v>16</v>
      </c>
      <c r="B12" s="1" t="s">
        <v>17</v>
      </c>
      <c r="G12" s="5" t="s">
        <v>128</v>
      </c>
      <c r="H12" s="5" t="s">
        <v>148</v>
      </c>
      <c r="I12" s="1">
        <v>56</v>
      </c>
      <c r="J12" s="1">
        <v>3</v>
      </c>
      <c r="K12" s="5"/>
    </row>
    <row r="13" spans="1:37" x14ac:dyDescent="0.25">
      <c r="A13" s="2" t="s">
        <v>18</v>
      </c>
      <c r="B13" s="1" t="s">
        <v>17</v>
      </c>
      <c r="G13" s="5" t="s">
        <v>129</v>
      </c>
      <c r="H13" s="5" t="s">
        <v>149</v>
      </c>
      <c r="I13" s="1">
        <v>56</v>
      </c>
      <c r="J13" s="1">
        <v>2</v>
      </c>
      <c r="K13" s="5"/>
    </row>
    <row r="14" spans="1:37" x14ac:dyDescent="0.25">
      <c r="A14" s="2" t="s">
        <v>19</v>
      </c>
      <c r="B14" s="1" t="s">
        <v>17</v>
      </c>
      <c r="G14" s="5" t="s">
        <v>139</v>
      </c>
      <c r="H14" s="5" t="s">
        <v>140</v>
      </c>
      <c r="I14" s="1">
        <v>195</v>
      </c>
      <c r="J14" s="1">
        <v>1</v>
      </c>
      <c r="K14" s="5"/>
    </row>
    <row r="15" spans="1:37" x14ac:dyDescent="0.25">
      <c r="A15" s="2" t="s">
        <v>20</v>
      </c>
      <c r="B15" s="1" t="s">
        <v>17</v>
      </c>
      <c r="G15" s="5" t="s">
        <v>141</v>
      </c>
      <c r="H15" s="5" t="s">
        <v>142</v>
      </c>
      <c r="I15" s="1">
        <v>89</v>
      </c>
      <c r="J15" s="1">
        <v>1</v>
      </c>
      <c r="K15" s="5"/>
    </row>
    <row r="16" spans="1:37" x14ac:dyDescent="0.25">
      <c r="A16" s="2" t="s">
        <v>21</v>
      </c>
      <c r="B16" s="1" t="s">
        <v>17</v>
      </c>
      <c r="G16" s="5" t="s">
        <v>130</v>
      </c>
      <c r="H16" s="5" t="s">
        <v>150</v>
      </c>
      <c r="I16" s="1">
        <v>7</v>
      </c>
      <c r="J16" s="1">
        <v>1</v>
      </c>
      <c r="K16" s="5"/>
    </row>
    <row r="17" spans="1:11" x14ac:dyDescent="0.25">
      <c r="A17" s="2" t="s">
        <v>22</v>
      </c>
      <c r="B17" s="1" t="s">
        <v>17</v>
      </c>
      <c r="G17" s="5" t="s">
        <v>31</v>
      </c>
      <c r="H17" s="5" t="s">
        <v>124</v>
      </c>
      <c r="I17" s="1">
        <v>24.3</v>
      </c>
      <c r="J17" s="1">
        <v>2</v>
      </c>
      <c r="K17" s="5"/>
    </row>
    <row r="18" spans="1:11" x14ac:dyDescent="0.25">
      <c r="A18" s="2" t="s">
        <v>23</v>
      </c>
      <c r="B18" s="1" t="s">
        <v>17</v>
      </c>
      <c r="G18" s="5" t="s">
        <v>143</v>
      </c>
      <c r="H18" s="5" t="s">
        <v>173</v>
      </c>
      <c r="I18" s="1">
        <v>95</v>
      </c>
      <c r="J18" s="1">
        <v>3</v>
      </c>
      <c r="K18" s="5"/>
    </row>
    <row r="19" spans="1:11" x14ac:dyDescent="0.25">
      <c r="A19" s="2" t="s">
        <v>24</v>
      </c>
      <c r="B19" s="1" t="s">
        <v>17</v>
      </c>
      <c r="G19" s="5" t="s">
        <v>30</v>
      </c>
      <c r="H19" s="5" t="s">
        <v>151</v>
      </c>
      <c r="I19" s="1">
        <v>31</v>
      </c>
      <c r="J19" s="1">
        <v>2</v>
      </c>
      <c r="K19" s="5"/>
    </row>
    <row r="20" spans="1:11" x14ac:dyDescent="0.25">
      <c r="A20" s="2" t="s">
        <v>25</v>
      </c>
      <c r="B20" s="1" t="s">
        <v>17</v>
      </c>
      <c r="G20" s="5" t="s">
        <v>39</v>
      </c>
      <c r="H20" s="5" t="s">
        <v>152</v>
      </c>
      <c r="I20" s="1">
        <v>39</v>
      </c>
      <c r="J20" s="1">
        <v>1</v>
      </c>
      <c r="K20" s="5"/>
    </row>
    <row r="21" spans="1:11" x14ac:dyDescent="0.25">
      <c r="A21" s="2" t="s">
        <v>26</v>
      </c>
      <c r="B21" s="1" t="s">
        <v>11</v>
      </c>
      <c r="G21" s="5" t="s">
        <v>144</v>
      </c>
      <c r="H21" s="5" t="s">
        <v>145</v>
      </c>
      <c r="I21" s="1">
        <v>74.5</v>
      </c>
      <c r="J21" s="1">
        <v>1</v>
      </c>
      <c r="K21" s="5"/>
    </row>
    <row r="22" spans="1:11" x14ac:dyDescent="0.25">
      <c r="A22" s="2" t="s">
        <v>27</v>
      </c>
      <c r="B22" s="1" t="s">
        <v>11</v>
      </c>
      <c r="G22" s="5" t="s">
        <v>38</v>
      </c>
      <c r="H22" s="5" t="s">
        <v>153</v>
      </c>
      <c r="I22" s="1">
        <v>23</v>
      </c>
      <c r="J22" s="1">
        <v>1</v>
      </c>
      <c r="K22" s="5"/>
    </row>
    <row r="23" spans="1:11" x14ac:dyDescent="0.25">
      <c r="A23" s="2" t="s">
        <v>28</v>
      </c>
      <c r="B23" s="1" t="s">
        <v>11</v>
      </c>
      <c r="G23" s="5" t="s">
        <v>146</v>
      </c>
      <c r="H23" s="5" t="s">
        <v>147</v>
      </c>
      <c r="I23" s="1">
        <v>58.5</v>
      </c>
      <c r="J23" s="1">
        <v>1</v>
      </c>
      <c r="K23" s="5"/>
    </row>
    <row r="24" spans="1:11" x14ac:dyDescent="0.25">
      <c r="A24" s="2" t="s">
        <v>29</v>
      </c>
      <c r="B24" s="1" t="s">
        <v>11</v>
      </c>
      <c r="G24" s="5" t="s">
        <v>58</v>
      </c>
      <c r="H24" s="5" t="s">
        <v>125</v>
      </c>
      <c r="I24" s="1">
        <v>96</v>
      </c>
      <c r="J24" s="1">
        <v>2</v>
      </c>
      <c r="K24" s="5"/>
    </row>
    <row r="25" spans="1:11" x14ac:dyDescent="0.25">
      <c r="A25" s="2" t="s">
        <v>30</v>
      </c>
      <c r="B25" s="1" t="s">
        <v>11</v>
      </c>
      <c r="G25" s="5" t="s">
        <v>57</v>
      </c>
      <c r="H25" s="5" t="s">
        <v>174</v>
      </c>
      <c r="I25" s="1">
        <v>32</v>
      </c>
      <c r="J25" s="1">
        <v>2</v>
      </c>
      <c r="K25" s="5"/>
    </row>
    <row r="26" spans="1:11" x14ac:dyDescent="0.25">
      <c r="A26" s="2" t="s">
        <v>31</v>
      </c>
      <c r="B26" s="1" t="s">
        <v>11</v>
      </c>
      <c r="G26" s="5" t="s">
        <v>33</v>
      </c>
      <c r="H26" s="5" t="s">
        <v>175</v>
      </c>
      <c r="I26" s="1">
        <v>65.400000000000006</v>
      </c>
      <c r="J26" s="1">
        <v>2</v>
      </c>
      <c r="K26" s="5"/>
    </row>
    <row r="27" spans="1:11" x14ac:dyDescent="0.25">
      <c r="A27" s="2" t="s">
        <v>32</v>
      </c>
      <c r="B27" s="1" t="s">
        <v>11</v>
      </c>
    </row>
    <row r="28" spans="1:11" x14ac:dyDescent="0.25">
      <c r="A28" s="2" t="s">
        <v>33</v>
      </c>
      <c r="B28" s="1" t="s">
        <v>11</v>
      </c>
    </row>
    <row r="29" spans="1:11" x14ac:dyDescent="0.25">
      <c r="A29" s="2" t="s">
        <v>34</v>
      </c>
      <c r="B29" s="1" t="s">
        <v>17</v>
      </c>
    </row>
    <row r="30" spans="1:11" x14ac:dyDescent="0.25">
      <c r="A30" s="2" t="s">
        <v>35</v>
      </c>
      <c r="B30" s="1" t="s">
        <v>17</v>
      </c>
    </row>
    <row r="31" spans="1:11" x14ac:dyDescent="0.25">
      <c r="A31" s="2" t="s">
        <v>36</v>
      </c>
      <c r="B31" s="1" t="s">
        <v>17</v>
      </c>
    </row>
    <row r="32" spans="1:11" x14ac:dyDescent="0.25">
      <c r="A32" s="2" t="s">
        <v>37</v>
      </c>
      <c r="B32" s="1" t="s">
        <v>17</v>
      </c>
    </row>
    <row r="33" spans="1:41" x14ac:dyDescent="0.25">
      <c r="A33" s="2" t="s">
        <v>38</v>
      </c>
      <c r="B33" s="1" t="s">
        <v>11</v>
      </c>
    </row>
    <row r="34" spans="1:41" x14ac:dyDescent="0.25">
      <c r="A34" s="2" t="s">
        <v>39</v>
      </c>
      <c r="B34" s="1" t="s">
        <v>11</v>
      </c>
    </row>
    <row r="35" spans="1:41" x14ac:dyDescent="0.25">
      <c r="A35" s="2" t="s">
        <v>40</v>
      </c>
      <c r="B35" s="1" t="s">
        <v>11</v>
      </c>
    </row>
    <row r="36" spans="1:41" x14ac:dyDescent="0.25">
      <c r="A36" s="2" t="s">
        <v>185</v>
      </c>
      <c r="B36" s="1" t="s">
        <v>17</v>
      </c>
    </row>
    <row r="37" spans="1:41" x14ac:dyDescent="0.25">
      <c r="A37" s="2" t="s">
        <v>186</v>
      </c>
      <c r="B37" s="1" t="s">
        <v>17</v>
      </c>
    </row>
    <row r="38" spans="1:41" x14ac:dyDescent="0.25">
      <c r="A38" s="2" t="s">
        <v>252</v>
      </c>
      <c r="B38" s="1" t="s">
        <v>11</v>
      </c>
    </row>
    <row r="39" spans="1:41" x14ac:dyDescent="0.25">
      <c r="A39" s="2" t="s">
        <v>253</v>
      </c>
      <c r="B39" s="1" t="s">
        <v>11</v>
      </c>
    </row>
    <row r="40" spans="1:41" x14ac:dyDescent="0.25">
      <c r="AM40" s="1"/>
      <c r="AO40" s="1"/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P28"/>
  <sheetViews>
    <sheetView workbookViewId="0">
      <selection activeCell="B18" sqref="B18:I28"/>
    </sheetView>
  </sheetViews>
  <sheetFormatPr defaultRowHeight="15" x14ac:dyDescent="0.25"/>
  <cols>
    <col min="1" max="1" width="5.140625" customWidth="1"/>
    <col min="2" max="2" width="17" customWidth="1"/>
    <col min="3" max="3" width="7.7109375" customWidth="1"/>
    <col min="4" max="4" width="7.5703125" customWidth="1"/>
    <col min="7" max="7" width="8.28515625" customWidth="1"/>
    <col min="11" max="11" width="11.28515625" customWidth="1"/>
    <col min="14" max="14" width="11.140625" customWidth="1"/>
  </cols>
  <sheetData>
    <row r="2" spans="2:16" x14ac:dyDescent="0.25">
      <c r="B2" s="50" t="s">
        <v>161</v>
      </c>
      <c r="C2" s="51" t="s">
        <v>160</v>
      </c>
      <c r="D2" s="51" t="s">
        <v>155</v>
      </c>
      <c r="E2" s="51" t="s">
        <v>164</v>
      </c>
      <c r="F2" s="52"/>
      <c r="H2" s="71" t="s">
        <v>62</v>
      </c>
      <c r="I2" s="67">
        <v>4.5</v>
      </c>
      <c r="J2" s="72"/>
      <c r="K2" s="76" t="s">
        <v>61</v>
      </c>
      <c r="L2" s="68">
        <f>INDEX(tblFormula[calories], MATCH(formula,tblFormula[Formula],0))</f>
        <v>676</v>
      </c>
      <c r="M2" s="78" t="str">
        <f>nutrient</f>
        <v>calories</v>
      </c>
      <c r="N2" s="79" t="s">
        <v>64</v>
      </c>
      <c r="O2" s="68">
        <f>INDEX(tblFormula[Serving Vol],MATCH(formula,tblFormula[Formula],0))</f>
        <v>1000</v>
      </c>
      <c r="P2" s="82" t="str">
        <f>INDEX(tblFormula[Serving Unit],MATCH(formula,tblFormula[Formula],0))</f>
        <v>mL</v>
      </c>
    </row>
    <row r="3" spans="2:16" x14ac:dyDescent="0.25">
      <c r="B3" s="64" t="s">
        <v>38</v>
      </c>
      <c r="C3" s="64">
        <v>0.245</v>
      </c>
      <c r="D3" s="45">
        <f>VLOOKUP(B3,tblChemistry[],3,FALSE)</f>
        <v>23</v>
      </c>
      <c r="E3" s="45">
        <f>VLOOKUP(B3,tblChemistry[],4,FALSE)</f>
        <v>1</v>
      </c>
      <c r="F3" s="55"/>
      <c r="H3" s="65" t="s">
        <v>59</v>
      </c>
      <c r="I3" s="9" t="s">
        <v>47</v>
      </c>
      <c r="J3" s="73"/>
      <c r="K3" s="61" t="s">
        <v>65</v>
      </c>
      <c r="L3" s="69">
        <f>L2</f>
        <v>676</v>
      </c>
      <c r="M3" s="59" t="str">
        <f>nutrient</f>
        <v>calories</v>
      </c>
      <c r="N3" s="59" t="s">
        <v>64</v>
      </c>
      <c r="O3" s="69">
        <f>CONVERT(INDEX(tblFormula[Serving Vol],MATCH(formula,tblFormula[Formula],0)),INDEX(tblFormula[Serving Unit],MATCH(formula,tblFormula[Formula],0)),"ml")</f>
        <v>1000</v>
      </c>
      <c r="P3" s="47" t="s">
        <v>2</v>
      </c>
    </row>
    <row r="4" spans="2:16" x14ac:dyDescent="0.25">
      <c r="B4" s="53"/>
      <c r="C4" s="54"/>
      <c r="D4" s="54"/>
      <c r="E4" s="54"/>
      <c r="F4" s="55"/>
      <c r="H4" s="65" t="s">
        <v>63</v>
      </c>
      <c r="I4" s="9" t="s">
        <v>9</v>
      </c>
      <c r="J4" s="73"/>
      <c r="K4" s="61" t="s">
        <v>66</v>
      </c>
      <c r="L4" s="69">
        <f>INDEX(tblFormula[calories], MATCH(formula,tblFormula[Formula],0))/CONVERT(INDEX(tblFormula[Serving Vol],MATCH(formula,tblFormula[Formula],0)),INDEX(tblFormula[Serving Unit],MATCH(formula,tblFormula[Formula],0)),"ml")</f>
        <v>0.67600000000000005</v>
      </c>
      <c r="M4" s="59" t="str">
        <f>nutrient</f>
        <v>calories</v>
      </c>
      <c r="N4" s="59" t="s">
        <v>64</v>
      </c>
      <c r="O4" s="9">
        <v>1</v>
      </c>
      <c r="P4" s="47" t="s">
        <v>2</v>
      </c>
    </row>
    <row r="5" spans="2:16" x14ac:dyDescent="0.25">
      <c r="B5" s="53" t="s">
        <v>165</v>
      </c>
      <c r="C5" s="54"/>
      <c r="D5" s="62" t="s">
        <v>11</v>
      </c>
      <c r="E5" s="63">
        <f>(C3*E3)/D3</f>
        <v>1.0652173913043479E-2</v>
      </c>
      <c r="F5" s="60" t="s">
        <v>158</v>
      </c>
      <c r="H5" s="65" t="s">
        <v>67</v>
      </c>
      <c r="I5" s="9" t="s">
        <v>2</v>
      </c>
      <c r="J5" s="73"/>
      <c r="K5" s="61" t="s">
        <v>68</v>
      </c>
      <c r="L5" s="69">
        <f>(INDEX(tblFormula[calories], MATCH(formula,tblFormula[Formula],0))/CONVERT(INDEX(tblFormula[Serving Vol],MATCH(formula,tblFormula[Formula],0)),INDEX(tblFormula[Serving Unit],MATCH(formula,tblFormula[Formula],0)),"ml"))*VLOOKUP(desired_units,tblVolEquiv[],2,FALSE)</f>
        <v>0.67600000000000005</v>
      </c>
      <c r="M5" s="59" t="str">
        <f>nutrient</f>
        <v>calories</v>
      </c>
      <c r="N5" s="59" t="s">
        <v>64</v>
      </c>
      <c r="O5" s="9">
        <v>1</v>
      </c>
      <c r="P5" s="47" t="str">
        <f>I6</f>
        <v>oz</v>
      </c>
    </row>
    <row r="6" spans="2:16" x14ac:dyDescent="0.25">
      <c r="B6" s="53" t="s">
        <v>166</v>
      </c>
      <c r="C6" s="54"/>
      <c r="D6" s="62" t="s">
        <v>11</v>
      </c>
      <c r="E6" s="63">
        <f>C3/D3</f>
        <v>1.0652173913043479E-2</v>
      </c>
      <c r="F6" s="60" t="s">
        <v>159</v>
      </c>
      <c r="G6" s="1"/>
      <c r="H6" s="66" t="s">
        <v>60</v>
      </c>
      <c r="I6" s="10" t="s">
        <v>47</v>
      </c>
      <c r="J6" s="74"/>
      <c r="K6" s="77" t="s">
        <v>70</v>
      </c>
      <c r="L6" s="75">
        <f>((INDEX(tblFormula[calories], MATCH(formula,tblFormula[Formula],0))/CONVERT(INDEX(tblFormula[Serving Vol],MATCH(formula,tblFormula[Formula],0)),INDEX(tblFormula[Serving Unit],MATCH(formula,tblFormula[Formula],0)),"ml"))*VLOOKUP(desired_units,tblVolEquiv[],2,FALSE))*desired_vol</f>
        <v>304.20000000000005</v>
      </c>
      <c r="M6" s="80" t="str">
        <f>nutrient</f>
        <v>calories</v>
      </c>
      <c r="N6" s="81" t="s">
        <v>64</v>
      </c>
      <c r="O6" s="10">
        <f>desired_vol</f>
        <v>450</v>
      </c>
      <c r="P6" s="49" t="str">
        <f>desired_units</f>
        <v>mL</v>
      </c>
    </row>
    <row r="7" spans="2:16" x14ac:dyDescent="0.25">
      <c r="B7" s="53" t="s">
        <v>167</v>
      </c>
      <c r="C7" s="54"/>
      <c r="D7" s="62" t="s">
        <v>158</v>
      </c>
      <c r="E7" s="63">
        <f>(C3*D3)/E3</f>
        <v>5.6349999999999998</v>
      </c>
      <c r="F7" s="60" t="s">
        <v>11</v>
      </c>
      <c r="G7" s="1"/>
      <c r="J7" s="1"/>
      <c r="K7" s="1"/>
      <c r="L7" s="1"/>
      <c r="M7" s="1"/>
    </row>
    <row r="8" spans="2:16" x14ac:dyDescent="0.25">
      <c r="B8" s="53" t="s">
        <v>168</v>
      </c>
      <c r="C8" s="54"/>
      <c r="D8" s="62" t="s">
        <v>158</v>
      </c>
      <c r="E8" s="63">
        <f>C3/E3</f>
        <v>0.245</v>
      </c>
      <c r="F8" s="60" t="s">
        <v>159</v>
      </c>
    </row>
    <row r="9" spans="2:16" x14ac:dyDescent="0.25">
      <c r="B9" s="53" t="s">
        <v>169</v>
      </c>
      <c r="C9" s="54"/>
      <c r="D9" s="62" t="s">
        <v>159</v>
      </c>
      <c r="E9" s="63">
        <f>C3*D3</f>
        <v>5.6349999999999998</v>
      </c>
      <c r="F9" s="60" t="s">
        <v>11</v>
      </c>
    </row>
    <row r="10" spans="2:16" x14ac:dyDescent="0.25">
      <c r="B10" s="53" t="s">
        <v>170</v>
      </c>
      <c r="C10" s="54"/>
      <c r="D10" s="62" t="s">
        <v>159</v>
      </c>
      <c r="E10" s="63">
        <f>C3*E3</f>
        <v>0.245</v>
      </c>
      <c r="F10" s="60" t="s">
        <v>158</v>
      </c>
    </row>
    <row r="11" spans="2:16" x14ac:dyDescent="0.25">
      <c r="B11" s="57"/>
      <c r="C11" s="58"/>
      <c r="D11" s="58"/>
      <c r="E11" s="58"/>
      <c r="F11" s="56"/>
    </row>
    <row r="14" spans="2:16" x14ac:dyDescent="0.25">
      <c r="B14" t="s">
        <v>230</v>
      </c>
    </row>
    <row r="15" spans="2:16" x14ac:dyDescent="0.25">
      <c r="B15">
        <f>CONVERT(1,"oz","ml")</f>
        <v>29.573529562499999</v>
      </c>
      <c r="C15" t="s">
        <v>231</v>
      </c>
    </row>
    <row r="18" spans="2:4" x14ac:dyDescent="0.25">
      <c r="B18" t="s">
        <v>234</v>
      </c>
    </row>
    <row r="19" spans="2:4" x14ac:dyDescent="0.25">
      <c r="B19" s="100" t="s">
        <v>235</v>
      </c>
      <c r="C19" s="101">
        <v>72.900000000000006</v>
      </c>
      <c r="D19" s="102" t="s">
        <v>158</v>
      </c>
    </row>
    <row r="20" spans="2:4" x14ac:dyDescent="0.25">
      <c r="B20" s="103" t="s">
        <v>236</v>
      </c>
      <c r="C20" s="104">
        <v>26.2</v>
      </c>
      <c r="D20" s="105" t="s">
        <v>159</v>
      </c>
    </row>
    <row r="21" spans="2:4" x14ac:dyDescent="0.25">
      <c r="B21" s="106" t="s">
        <v>237</v>
      </c>
      <c r="C21" s="107">
        <f>ROUND(C19/C20,2)</f>
        <v>2.78</v>
      </c>
      <c r="D21" s="108"/>
    </row>
    <row r="22" spans="2:4" x14ac:dyDescent="0.25">
      <c r="B22" s="42" t="s">
        <v>238</v>
      </c>
    </row>
    <row r="23" spans="2:4" x14ac:dyDescent="0.25">
      <c r="B23" s="42" t="s">
        <v>239</v>
      </c>
    </row>
    <row r="25" spans="2:4" x14ac:dyDescent="0.25">
      <c r="B25" s="42" t="s">
        <v>240</v>
      </c>
    </row>
    <row r="26" spans="2:4" x14ac:dyDescent="0.25">
      <c r="B26" t="s">
        <v>241</v>
      </c>
      <c r="D26">
        <f>(C19/2)/C20</f>
        <v>1.3912213740458017</v>
      </c>
    </row>
    <row r="28" spans="2:4" x14ac:dyDescent="0.25">
      <c r="B28" s="42" t="s">
        <v>242</v>
      </c>
    </row>
  </sheetData>
  <dataValidations disablePrompts="1" count="1">
    <dataValidation type="list" allowBlank="1" showInputMessage="1" showErrorMessage="1" sqref="B3">
      <formula1>INDIRECT("tblChemistry[substance]")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48"/>
  <sheetViews>
    <sheetView workbookViewId="0">
      <selection activeCell="C6" sqref="C6"/>
    </sheetView>
  </sheetViews>
  <sheetFormatPr defaultRowHeight="15" x14ac:dyDescent="0.25"/>
  <sheetData>
    <row r="1" spans="1:14" x14ac:dyDescent="0.25">
      <c r="A1" t="s">
        <v>117</v>
      </c>
    </row>
    <row r="2" spans="1:14" x14ac:dyDescent="0.25">
      <c r="M2" t="s">
        <v>183</v>
      </c>
    </row>
    <row r="3" spans="1:14" x14ac:dyDescent="0.25">
      <c r="A3" s="43">
        <v>42884</v>
      </c>
      <c r="B3">
        <v>0.3</v>
      </c>
      <c r="C3" t="s">
        <v>162</v>
      </c>
      <c r="N3" t="s">
        <v>184</v>
      </c>
    </row>
    <row r="4" spans="1:14" x14ac:dyDescent="0.25">
      <c r="C4" t="s">
        <v>171</v>
      </c>
      <c r="H4" t="s">
        <v>172</v>
      </c>
      <c r="N4" t="s">
        <v>187</v>
      </c>
    </row>
    <row r="5" spans="1:14" x14ac:dyDescent="0.25">
      <c r="B5">
        <v>0.6</v>
      </c>
      <c r="C5" t="s">
        <v>272</v>
      </c>
    </row>
    <row r="14" spans="1:14" x14ac:dyDescent="0.25">
      <c r="A14" s="90" t="s">
        <v>188</v>
      </c>
    </row>
    <row r="15" spans="1:14" x14ac:dyDescent="0.25">
      <c r="B15" t="s">
        <v>189</v>
      </c>
    </row>
    <row r="16" spans="1:14" x14ac:dyDescent="0.25">
      <c r="B16" t="s">
        <v>190</v>
      </c>
    </row>
    <row r="17" spans="1:3" x14ac:dyDescent="0.25">
      <c r="B17" t="s">
        <v>191</v>
      </c>
    </row>
    <row r="18" spans="1:3" x14ac:dyDescent="0.25">
      <c r="B18" t="s">
        <v>192</v>
      </c>
    </row>
    <row r="19" spans="1:3" x14ac:dyDescent="0.25">
      <c r="B19" t="s">
        <v>193</v>
      </c>
    </row>
    <row r="20" spans="1:3" x14ac:dyDescent="0.25">
      <c r="B20" t="s">
        <v>194</v>
      </c>
    </row>
    <row r="21" spans="1:3" x14ac:dyDescent="0.25">
      <c r="B21" t="s">
        <v>195</v>
      </c>
    </row>
    <row r="22" spans="1:3" x14ac:dyDescent="0.25">
      <c r="B22" t="s">
        <v>196</v>
      </c>
    </row>
    <row r="24" spans="1:3" x14ac:dyDescent="0.25">
      <c r="B24" t="s">
        <v>197</v>
      </c>
    </row>
    <row r="28" spans="1:3" x14ac:dyDescent="0.25">
      <c r="A28" s="90" t="s">
        <v>198</v>
      </c>
    </row>
    <row r="29" spans="1:3" x14ac:dyDescent="0.25">
      <c r="B29" s="42" t="s">
        <v>199</v>
      </c>
      <c r="C29" s="91" t="s">
        <v>200</v>
      </c>
    </row>
    <row r="30" spans="1:3" x14ac:dyDescent="0.25">
      <c r="C30" t="s">
        <v>201</v>
      </c>
    </row>
    <row r="31" spans="1:3" x14ac:dyDescent="0.25">
      <c r="C31" t="s">
        <v>202</v>
      </c>
    </row>
    <row r="32" spans="1:3" x14ac:dyDescent="0.25">
      <c r="C32" t="s">
        <v>203</v>
      </c>
    </row>
    <row r="33" spans="1:3" x14ac:dyDescent="0.25">
      <c r="C33" t="s">
        <v>204</v>
      </c>
    </row>
    <row r="34" spans="1:3" x14ac:dyDescent="0.25">
      <c r="C34" t="s">
        <v>205</v>
      </c>
    </row>
    <row r="35" spans="1:3" x14ac:dyDescent="0.25">
      <c r="C35" t="s">
        <v>206</v>
      </c>
    </row>
    <row r="36" spans="1:3" x14ac:dyDescent="0.25">
      <c r="C36" t="s">
        <v>207</v>
      </c>
    </row>
    <row r="37" spans="1:3" x14ac:dyDescent="0.25">
      <c r="C37" t="s">
        <v>208</v>
      </c>
    </row>
    <row r="38" spans="1:3" x14ac:dyDescent="0.25">
      <c r="B38" t="s">
        <v>209</v>
      </c>
    </row>
    <row r="39" spans="1:3" x14ac:dyDescent="0.25">
      <c r="C39" t="s">
        <v>210</v>
      </c>
    </row>
    <row r="41" spans="1:3" x14ac:dyDescent="0.25">
      <c r="B41" t="s">
        <v>211</v>
      </c>
    </row>
    <row r="42" spans="1:3" x14ac:dyDescent="0.25">
      <c r="B42" t="s">
        <v>212</v>
      </c>
    </row>
    <row r="43" spans="1:3" x14ac:dyDescent="0.25">
      <c r="B43" t="s">
        <v>213</v>
      </c>
    </row>
    <row r="44" spans="1:3" x14ac:dyDescent="0.25">
      <c r="B44" t="s">
        <v>214</v>
      </c>
    </row>
    <row r="46" spans="1:3" x14ac:dyDescent="0.25">
      <c r="A46" t="s">
        <v>215</v>
      </c>
    </row>
    <row r="48" spans="1:3" x14ac:dyDescent="0.25">
      <c r="A48" t="s">
        <v>216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Formula</vt:lpstr>
      <vt:lpstr>Compare</vt:lpstr>
      <vt:lpstr>num of cans</vt:lpstr>
      <vt:lpstr>tblFormula</vt:lpstr>
      <vt:lpstr>tblNormula</vt:lpstr>
      <vt:lpstr>ref_chemistry</vt:lpstr>
      <vt:lpstr>conversions</vt:lpstr>
      <vt:lpstr>ChangeLog</vt:lpstr>
      <vt:lpstr>canunit</vt:lpstr>
      <vt:lpstr>canvol</vt:lpstr>
      <vt:lpstr>comp_base</vt:lpstr>
      <vt:lpstr>comp_intake</vt:lpstr>
      <vt:lpstr>comp_type</vt:lpstr>
      <vt:lpstr>comp_units</vt:lpstr>
      <vt:lpstr>comp_vol</vt:lpstr>
      <vt:lpstr>comp_wgt</vt:lpstr>
      <vt:lpstr>comp1</vt:lpstr>
      <vt:lpstr>comp2</vt:lpstr>
      <vt:lpstr>comp3</vt:lpstr>
      <vt:lpstr>comp4</vt:lpstr>
      <vt:lpstr>comp5</vt:lpstr>
      <vt:lpstr>dailyintake</vt:lpstr>
      <vt:lpstr>desired_units</vt:lpstr>
      <vt:lpstr>desired_vol</vt:lpstr>
      <vt:lpstr>'num of cans'!formula</vt:lpstr>
      <vt:lpstr>formula</vt:lpstr>
      <vt:lpstr>fortification</vt:lpstr>
      <vt:lpstr>intake</vt:lpstr>
      <vt:lpstr>mixratio</vt:lpstr>
      <vt:lpstr>mo</vt:lpstr>
      <vt:lpstr>nutrient</vt:lpstr>
      <vt:lpstr>scoopvol</vt:lpstr>
      <vt:lpstr>wgt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ALT, DAVID A Capt USAF AETC 47 MDOS/SGOP</dc:creator>
  <cp:lastModifiedBy>David Alt</cp:lastModifiedBy>
  <dcterms:created xsi:type="dcterms:W3CDTF">2006-09-16T00:00:00Z</dcterms:created>
  <dcterms:modified xsi:type="dcterms:W3CDTF">2017-08-02T01:20:36Z</dcterms:modified>
</cp:coreProperties>
</file>