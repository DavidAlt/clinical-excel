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1367819304A\Documents\Professional\Initiatives\Excel projects\BHM-20 Scoring\"/>
    </mc:Choice>
  </mc:AlternateContent>
  <bookViews>
    <workbookView xWindow="0" yWindow="840" windowWidth="28800" windowHeight="12810"/>
  </bookViews>
  <sheets>
    <sheet name="BHM-20" sheetId="1" r:id="rId1"/>
  </sheets>
  <definedNames>
    <definedName name="altrng">'BHM-20'!$O$30:$O$34</definedName>
    <definedName name="Anxiety">'BHM-20'!$L$11</definedName>
    <definedName name="Bipolar">'BHM-20'!$L$14</definedName>
    <definedName name="Depression">'BHM-20'!$L$12</definedName>
    <definedName name="EatingDO">'BHM-20'!$L$15</definedName>
    <definedName name="Global">'BHM-20'!$L$6</definedName>
    <definedName name="GlobalMentalHealth">'BHM-20'!$L$6</definedName>
    <definedName name="GlobalMH">'BHM-20'!$L$6</definedName>
    <definedName name="Harm">'BHM-20'!$L$16</definedName>
    <definedName name="Life">'BHM-20'!$L$18</definedName>
    <definedName name="PersEff">'BHM-20'!$D$43:$D$51</definedName>
    <definedName name="PersEffRating">'BHM-20'!$L$43</definedName>
    <definedName name="PersEffSubscales">'BHM-20'!$L$44:$L$49</definedName>
    <definedName name="Ques1">'BHM-20'!$D$6</definedName>
    <definedName name="Ques10">'BHM-20'!$D$15</definedName>
    <definedName name="Ques11">'BHM-20'!$D$16</definedName>
    <definedName name="Ques12">'BHM-20'!$D$17</definedName>
    <definedName name="Ques13">'BHM-20'!$D$18</definedName>
    <definedName name="Ques14">'BHM-20'!$D$19</definedName>
    <definedName name="Ques15">'BHM-20'!$D$20</definedName>
    <definedName name="Ques16">'BHM-20'!$D$21</definedName>
    <definedName name="Ques17">'BHM-20'!$D$22</definedName>
    <definedName name="Ques18">'BHM-20'!$D$23</definedName>
    <definedName name="Ques19">'BHM-20'!$D$24</definedName>
    <definedName name="Ques2">'BHM-20'!$D$7</definedName>
    <definedName name="Ques20">'BHM-20'!$D$25</definedName>
    <definedName name="Ques21">'BHM-20'!$D$26</definedName>
    <definedName name="Ques3">'BHM-20'!$D$8</definedName>
    <definedName name="Ques4">'BHM-20'!$D$9</definedName>
    <definedName name="Ques5">'BHM-20'!$D$10</definedName>
    <definedName name="Ques6">'BHM-20'!$D$11</definedName>
    <definedName name="Ques7">'BHM-20'!$D$12</definedName>
    <definedName name="Ques8">'BHM-20'!$D$13</definedName>
    <definedName name="Ques9">'BHM-20'!$D$14</definedName>
    <definedName name="Substance">'BHM-20'!$L$13</definedName>
    <definedName name="Suicide">'BHM-20'!$L$20</definedName>
    <definedName name="Symptoms">'BHM-20'!$L$10</definedName>
    <definedName name="WellBeing">'BHM-20'!$L$8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8" i="1" l="1"/>
  <c r="N18" i="1" s="1"/>
  <c r="D51" i="1" l="1"/>
  <c r="D50" i="1"/>
  <c r="D49" i="1"/>
  <c r="D48" i="1"/>
  <c r="D47" i="1"/>
  <c r="D46" i="1"/>
  <c r="D45" i="1"/>
  <c r="D44" i="1"/>
  <c r="D43" i="1"/>
  <c r="L48" i="1" l="1"/>
  <c r="L49" i="1"/>
  <c r="L47" i="1"/>
  <c r="L46" i="1"/>
  <c r="L45" i="1"/>
  <c r="L44" i="1"/>
  <c r="L20" i="1" l="1"/>
  <c r="I21" i="1" s="1"/>
  <c r="L16" i="1"/>
  <c r="N16" i="1" s="1"/>
  <c r="L15" i="1"/>
  <c r="N15" i="1" s="1"/>
  <c r="L14" i="1"/>
  <c r="N14" i="1" s="1"/>
  <c r="L13" i="1"/>
  <c r="N13" i="1" s="1"/>
  <c r="L12" i="1"/>
  <c r="N12" i="1" s="1"/>
  <c r="L11" i="1"/>
  <c r="N11" i="1" s="1"/>
  <c r="L10" i="1"/>
  <c r="N10" i="1" s="1"/>
  <c r="L8" i="1"/>
  <c r="N8" i="1" s="1"/>
  <c r="L6" i="1"/>
  <c r="L43" i="1" l="1"/>
  <c r="I26" i="1" s="1"/>
  <c r="N6" i="1"/>
  <c r="N20" i="1"/>
</calcChain>
</file>

<file path=xl/sharedStrings.xml><?xml version="1.0" encoding="utf-8"?>
<sst xmlns="http://schemas.openxmlformats.org/spreadsheetml/2006/main" count="51" uniqueCount="51">
  <si>
    <t xml:space="preserve">1. </t>
  </si>
  <si>
    <t xml:space="preserve">2. </t>
  </si>
  <si>
    <t xml:space="preserve">3. </t>
  </si>
  <si>
    <t xml:space="preserve">4. </t>
  </si>
  <si>
    <t xml:space="preserve">5. </t>
  </si>
  <si>
    <t xml:space="preserve">6. </t>
  </si>
  <si>
    <t xml:space="preserve">7. </t>
  </si>
  <si>
    <t xml:space="preserve">8. </t>
  </si>
  <si>
    <t xml:space="preserve">9. </t>
  </si>
  <si>
    <t xml:space="preserve">10. </t>
  </si>
  <si>
    <t xml:space="preserve">11. </t>
  </si>
  <si>
    <t xml:space="preserve">12. </t>
  </si>
  <si>
    <t xml:space="preserve">13. </t>
  </si>
  <si>
    <t xml:space="preserve">14. </t>
  </si>
  <si>
    <t xml:space="preserve">15. </t>
  </si>
  <si>
    <t xml:space="preserve">16. </t>
  </si>
  <si>
    <t xml:space="preserve">17. </t>
  </si>
  <si>
    <t xml:space="preserve">18. </t>
  </si>
  <si>
    <t xml:space="preserve">19. </t>
  </si>
  <si>
    <t xml:space="preserve">20. </t>
  </si>
  <si>
    <t xml:space="preserve">21. </t>
  </si>
  <si>
    <t xml:space="preserve">Global Mental Health: </t>
  </si>
  <si>
    <t xml:space="preserve">Well Being Scale: </t>
  </si>
  <si>
    <t xml:space="preserve">Symptoms Scale: </t>
  </si>
  <si>
    <t xml:space="preserve">Anxiety subscale: </t>
  </si>
  <si>
    <t xml:space="preserve">Depression subscale: </t>
  </si>
  <si>
    <t xml:space="preserve">Alcohol/Drug use subscale: </t>
  </si>
  <si>
    <t xml:space="preserve">Bipolar subscale: </t>
  </si>
  <si>
    <t xml:space="preserve">Eating disorders subscale: </t>
  </si>
  <si>
    <t xml:space="preserve">Harm to others subscale: </t>
  </si>
  <si>
    <t xml:space="preserve">Life Functioning Scale: </t>
  </si>
  <si>
    <t xml:space="preserve">Suicide Monitoring Scale: </t>
  </si>
  <si>
    <t>Q4</t>
  </si>
  <si>
    <t>Q7</t>
  </si>
  <si>
    <t>Q8</t>
  </si>
  <si>
    <t>Q9</t>
  </si>
  <si>
    <t>Q11</t>
  </si>
  <si>
    <t>Q12</t>
  </si>
  <si>
    <t>Q13</t>
  </si>
  <si>
    <t>Q15</t>
  </si>
  <si>
    <t>Q16</t>
  </si>
  <si>
    <t>Personal Effectiveness Calcs</t>
  </si>
  <si>
    <t>overall rating</t>
  </si>
  <si>
    <t>IF(Ques10=4,1,0)</t>
  </si>
  <si>
    <t>IF(Ques6=4,1,0)</t>
  </si>
  <si>
    <t>IF(AND(Ques5=4,Ques14=4),1,0)</t>
  </si>
  <si>
    <t>IF(AND(Ques1&gt;=3,Ques2&gt;=3,Ques3&gt;=3,Ques17&gt;=3,Ques18&gt;=3,OR(Ques19&gt;=3,Ques19="")),1,0)</t>
  </si>
  <si>
    <t>IF(AND(COUNTIF(PersEff,1)=0,COUNTIF(PersEff,2)&lt;=2),1,0)</t>
  </si>
  <si>
    <t>IF(COUNTIF(PersEff,"&gt;="&amp;3)&gt;=7,1,0)</t>
  </si>
  <si>
    <t>BHM-20 Scoring Tool</t>
  </si>
  <si>
    <t xml:space="preserve">Personal Effectiveness Comments: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</si>
</sst>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22"/>
      <color theme="4" tint="-0.499984740745262"/>
      <name val="Cambria"/>
      <family val="1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i/>
      <sz val="11"/>
      <color theme="1"/>
      <name val="Calibri"/>
      <family val="2"/>
    </font>
    <font>
      <i/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BEFCD"/>
        <bgColor indexed="64"/>
      </patternFill>
    </fill>
    <fill>
      <patternFill patternType="solid">
        <fgColor theme="4" tint="-0.49998474074526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4" tint="-0.499984740745262"/>
      </left>
      <right/>
      <top style="thick">
        <color theme="4" tint="-0.499984740745262"/>
      </top>
      <bottom/>
      <diagonal/>
    </border>
    <border>
      <left/>
      <right/>
      <top style="thick">
        <color theme="4" tint="-0.499984740745262"/>
      </top>
      <bottom/>
      <diagonal/>
    </border>
    <border>
      <left/>
      <right style="thick">
        <color theme="4" tint="-0.499984740745262"/>
      </right>
      <top style="thick">
        <color theme="4" tint="-0.499984740745262"/>
      </top>
      <bottom/>
      <diagonal/>
    </border>
    <border>
      <left style="thick">
        <color theme="4" tint="-0.499984740745262"/>
      </left>
      <right/>
      <top/>
      <bottom/>
      <diagonal/>
    </border>
    <border>
      <left/>
      <right style="thick">
        <color theme="4" tint="-0.499984740745262"/>
      </right>
      <top/>
      <bottom/>
      <diagonal/>
    </border>
    <border>
      <left style="thick">
        <color theme="4" tint="-0.499984740745262"/>
      </left>
      <right/>
      <top/>
      <bottom style="thick">
        <color theme="4" tint="-0.499984740745262"/>
      </bottom>
      <diagonal/>
    </border>
    <border>
      <left/>
      <right/>
      <top/>
      <bottom style="thick">
        <color theme="4" tint="-0.499984740745262"/>
      </bottom>
      <diagonal/>
    </border>
    <border>
      <left/>
      <right style="thick">
        <color theme="4" tint="-0.499984740745262"/>
      </right>
      <top/>
      <bottom style="thick">
        <color theme="4" tint="-0.499984740745262"/>
      </bottom>
      <diagonal/>
    </border>
  </borders>
  <cellStyleXfs count="1">
    <xf numFmtId="0" fontId="0" fillId="0" borderId="0"/>
  </cellStyleXfs>
  <cellXfs count="30">
    <xf numFmtId="0" fontId="0" fillId="0" borderId="0" xfId="0"/>
    <xf numFmtId="49" fontId="0" fillId="0" borderId="0" xfId="0" applyNumberFormat="1"/>
    <xf numFmtId="0" fontId="2" fillId="0" borderId="0" xfId="0" applyFont="1"/>
    <xf numFmtId="0" fontId="1" fillId="0" borderId="0" xfId="0" applyFont="1"/>
    <xf numFmtId="49" fontId="0" fillId="2" borderId="0" xfId="0" applyNumberFormat="1" applyFill="1"/>
    <xf numFmtId="0" fontId="0" fillId="2" borderId="0" xfId="0" applyFill="1"/>
    <xf numFmtId="0" fontId="3" fillId="2" borderId="0" xfId="0" applyFont="1" applyFill="1"/>
    <xf numFmtId="0" fontId="0" fillId="2" borderId="0" xfId="0" applyFill="1" applyBorder="1"/>
    <xf numFmtId="49" fontId="0" fillId="2" borderId="2" xfId="0" applyNumberFormat="1" applyFill="1" applyBorder="1"/>
    <xf numFmtId="0" fontId="0" fillId="2" borderId="3" xfId="0" applyFill="1" applyBorder="1"/>
    <xf numFmtId="0" fontId="0" fillId="2" borderId="4" xfId="0" applyFill="1" applyBorder="1"/>
    <xf numFmtId="49" fontId="0" fillId="2" borderId="5" xfId="0" applyNumberFormat="1" applyFill="1" applyBorder="1" applyAlignment="1">
      <alignment horizontal="right" vertical="top"/>
    </xf>
    <xf numFmtId="0" fontId="0" fillId="2" borderId="6" xfId="0" applyFill="1" applyBorder="1"/>
    <xf numFmtId="49" fontId="0" fillId="2" borderId="7" xfId="0" applyNumberFormat="1" applyFill="1" applyBorder="1" applyAlignment="1">
      <alignment horizontal="right" vertical="top"/>
    </xf>
    <xf numFmtId="0" fontId="0" fillId="2" borderId="9" xfId="0" applyFill="1" applyBorder="1"/>
    <xf numFmtId="1" fontId="0" fillId="2" borderId="8" xfId="0" applyNumberFormat="1" applyFill="1" applyBorder="1" applyAlignment="1">
      <alignment horizontal="center" vertical="top"/>
    </xf>
    <xf numFmtId="49" fontId="0" fillId="2" borderId="0" xfId="0" applyNumberFormat="1" applyFill="1" applyBorder="1" applyAlignment="1">
      <alignment horizontal="right" vertical="top"/>
    </xf>
    <xf numFmtId="1" fontId="0" fillId="2" borderId="0" xfId="0" applyNumberFormat="1" applyFill="1" applyBorder="1" applyAlignment="1">
      <alignment horizontal="center" vertical="top"/>
    </xf>
    <xf numFmtId="1" fontId="0" fillId="2" borderId="1" xfId="0" applyNumberFormat="1" applyFill="1" applyBorder="1" applyAlignment="1" applyProtection="1">
      <alignment horizontal="center" vertical="top"/>
      <protection locked="0"/>
    </xf>
    <xf numFmtId="0" fontId="0" fillId="3" borderId="0" xfId="0" applyFill="1"/>
    <xf numFmtId="49" fontId="0" fillId="3" borderId="0" xfId="0" applyNumberFormat="1" applyFill="1"/>
    <xf numFmtId="0" fontId="1" fillId="2" borderId="0" xfId="0" applyFont="1" applyFill="1" applyBorder="1" applyAlignment="1">
      <alignment horizontal="center" vertical="top" wrapText="1"/>
    </xf>
    <xf numFmtId="0" fontId="4" fillId="2" borderId="0" xfId="0" applyFont="1" applyFill="1"/>
    <xf numFmtId="0" fontId="5" fillId="2" borderId="0" xfId="0" applyFont="1" applyFill="1"/>
    <xf numFmtId="2" fontId="4" fillId="2" borderId="0" xfId="0" applyNumberFormat="1" applyFont="1" applyFill="1"/>
    <xf numFmtId="0" fontId="6" fillId="2" borderId="0" xfId="0" applyFont="1" applyFill="1"/>
    <xf numFmtId="2" fontId="6" fillId="2" borderId="0" xfId="0" applyNumberFormat="1" applyFont="1" applyFill="1"/>
    <xf numFmtId="0" fontId="7" fillId="2" borderId="0" xfId="0" applyFont="1" applyFill="1"/>
    <xf numFmtId="0" fontId="6" fillId="2" borderId="0" xfId="0" applyFont="1" applyFill="1" applyBorder="1" applyAlignment="1">
      <alignment horizontal="center" vertical="top" wrapText="1"/>
    </xf>
    <xf numFmtId="0" fontId="4" fillId="2" borderId="0" xfId="0" applyFont="1" applyFill="1" applyBorder="1" applyAlignment="1">
      <alignment vertical="top"/>
    </xf>
  </cellXfs>
  <cellStyles count="1">
    <cellStyle name="Normal" xfId="0" builtinId="0"/>
  </cellStyles>
  <dxfs count="8">
    <dxf>
      <fill>
        <patternFill>
          <bgColor rgb="FF00B050"/>
        </patternFill>
      </fill>
    </dxf>
    <dxf>
      <fill>
        <patternFill>
          <bgColor rgb="FFFFFF66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FF66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BEFCD"/>
      <color rgb="FFFFFF66"/>
      <color rgb="FF33CC33"/>
      <color rgb="FFFDF6E9"/>
      <color rgb="FFF9E9BD"/>
      <color rgb="FFF7E2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</xdr:row>
          <xdr:rowOff>19049</xdr:rowOff>
        </xdr:from>
        <xdr:to>
          <xdr:col>13</xdr:col>
          <xdr:colOff>1304925</xdr:colOff>
          <xdr:row>3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3495675</xdr:colOff>
          <xdr:row>1</xdr:row>
          <xdr:rowOff>180975</xdr:rowOff>
        </xdr:from>
        <xdr:to>
          <xdr:col>14</xdr:col>
          <xdr:colOff>0</xdr:colOff>
          <xdr:row>3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Results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to Clipboard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51"/>
  <sheetViews>
    <sheetView tabSelected="1" workbookViewId="0">
      <selection activeCell="D6" sqref="D6"/>
    </sheetView>
  </sheetViews>
  <sheetFormatPr defaultRowHeight="15" x14ac:dyDescent="0.25"/>
  <cols>
    <col min="1" max="1" width="1.7109375" customWidth="1"/>
    <col min="2" max="2" width="3.28515625" style="1" customWidth="1"/>
    <col min="3" max="3" width="5.28515625" customWidth="1"/>
    <col min="4" max="4" width="5.85546875" customWidth="1"/>
    <col min="5" max="5" width="4" customWidth="1"/>
    <col min="6" max="6" width="3.28515625" customWidth="1"/>
    <col min="7" max="7" width="1.5703125" customWidth="1"/>
    <col min="8" max="8" width="1.85546875" customWidth="1"/>
    <col min="9" max="9" width="25.7109375" customWidth="1"/>
    <col min="10" max="11" width="3" customWidth="1"/>
    <col min="12" max="12" width="5.7109375" customWidth="1"/>
    <col min="13" max="13" width="3.42578125" customWidth="1"/>
    <col min="14" max="14" width="66.85546875" customWidth="1"/>
    <col min="15" max="15" width="2.140625" customWidth="1"/>
    <col min="16" max="16" width="2.85546875" customWidth="1"/>
    <col min="17" max="17" width="1.42578125" customWidth="1"/>
  </cols>
  <sheetData>
    <row r="1" spans="1:17" ht="9" customHeight="1" x14ac:dyDescent="0.25">
      <c r="A1" s="19"/>
      <c r="B1" s="20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</row>
    <row r="2" spans="1:17" x14ac:dyDescent="0.25">
      <c r="A2" s="19"/>
      <c r="B2" s="4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19"/>
    </row>
    <row r="3" spans="1:17" ht="27" x14ac:dyDescent="0.35">
      <c r="A3" s="19"/>
      <c r="B3" s="4"/>
      <c r="C3" s="5"/>
      <c r="D3" s="6" t="s">
        <v>49</v>
      </c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19"/>
    </row>
    <row r="4" spans="1:17" ht="15.75" thickBot="1" x14ac:dyDescent="0.3">
      <c r="A4" s="19"/>
      <c r="B4" s="4"/>
      <c r="C4" s="4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19"/>
    </row>
    <row r="5" spans="1:17" ht="6.75" customHeight="1" thickTop="1" x14ac:dyDescent="0.25">
      <c r="A5" s="19"/>
      <c r="B5" s="4"/>
      <c r="C5" s="8"/>
      <c r="D5" s="9"/>
      <c r="E5" s="10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19"/>
    </row>
    <row r="6" spans="1:17" x14ac:dyDescent="0.25">
      <c r="A6" s="19"/>
      <c r="B6" s="4"/>
      <c r="C6" s="11" t="s">
        <v>0</v>
      </c>
      <c r="D6" s="18"/>
      <c r="E6" s="12"/>
      <c r="F6" s="5"/>
      <c r="G6" s="5"/>
      <c r="H6" s="22" t="s">
        <v>21</v>
      </c>
      <c r="I6" s="23"/>
      <c r="J6" s="23"/>
      <c r="K6" s="23"/>
      <c r="L6" s="24" t="str">
        <f>IF(COUNT(Ques1:Ques18)=18,AVERAGE(Ques1:Ques20),"N/A")</f>
        <v>N/A</v>
      </c>
      <c r="M6" s="23"/>
      <c r="N6" s="22" t="str">
        <f>IF(GlobalMH="N/A","Invalid",IF(ROUND(GlobalMH,2)&gt;2.93,"Within Normal Limits",IF(ROUND(GlobalMH,2)&gt;2.37,"Mild Distress",IF(ROUND(GlobalMH,2)&gt;2.08,"Moderate Distress","Severe Distress"))))</f>
        <v>Invalid</v>
      </c>
      <c r="O6" s="5"/>
      <c r="P6" s="5"/>
      <c r="Q6" s="19"/>
    </row>
    <row r="7" spans="1:17" x14ac:dyDescent="0.25">
      <c r="A7" s="19"/>
      <c r="B7" s="4"/>
      <c r="C7" s="11" t="s">
        <v>1</v>
      </c>
      <c r="D7" s="18"/>
      <c r="E7" s="12"/>
      <c r="F7" s="5"/>
      <c r="G7" s="5"/>
      <c r="H7" s="23"/>
      <c r="I7" s="23"/>
      <c r="J7" s="23"/>
      <c r="K7" s="23"/>
      <c r="L7" s="23"/>
      <c r="M7" s="23"/>
      <c r="N7" s="23"/>
      <c r="O7" s="5"/>
      <c r="P7" s="5"/>
      <c r="Q7" s="19"/>
    </row>
    <row r="8" spans="1:17" x14ac:dyDescent="0.25">
      <c r="A8" s="19"/>
      <c r="B8" s="4"/>
      <c r="C8" s="11" t="s">
        <v>2</v>
      </c>
      <c r="D8" s="18"/>
      <c r="E8" s="12"/>
      <c r="F8" s="5"/>
      <c r="G8" s="5"/>
      <c r="H8" s="22" t="s">
        <v>22</v>
      </c>
      <c r="I8" s="23"/>
      <c r="J8" s="23"/>
      <c r="K8" s="23"/>
      <c r="L8" s="24" t="str">
        <f>IF(COUNT(Ques1:Ques3)=3,AVERAGE(Ques1:Ques3),"N/A")</f>
        <v>N/A</v>
      </c>
      <c r="M8" s="23"/>
      <c r="N8" s="22" t="str">
        <f>IF(WellBeing="N/A","Invalid",IF(ROUND(WellBeing,2)&gt;2.16,"Within Normal Limits",IF(ROUND(WellBeing,2)&gt;1.39,"Mild Distress",IF(ROUND(WellBeing,2)&gt;0.97,"Moderate Distress","Severe Distress"))))</f>
        <v>Invalid</v>
      </c>
      <c r="O8" s="5"/>
      <c r="P8" s="5"/>
      <c r="Q8" s="19"/>
    </row>
    <row r="9" spans="1:17" x14ac:dyDescent="0.25">
      <c r="A9" s="19"/>
      <c r="B9" s="4"/>
      <c r="C9" s="11" t="s">
        <v>3</v>
      </c>
      <c r="D9" s="18"/>
      <c r="E9" s="12"/>
      <c r="F9" s="5"/>
      <c r="G9" s="5"/>
      <c r="H9" s="23"/>
      <c r="I9" s="23"/>
      <c r="J9" s="23"/>
      <c r="K9" s="23"/>
      <c r="L9" s="23"/>
      <c r="M9" s="23"/>
      <c r="N9" s="23"/>
      <c r="O9" s="5"/>
      <c r="P9" s="5"/>
      <c r="Q9" s="19"/>
    </row>
    <row r="10" spans="1:17" x14ac:dyDescent="0.25">
      <c r="A10" s="19"/>
      <c r="B10" s="4"/>
      <c r="C10" s="11" t="s">
        <v>4</v>
      </c>
      <c r="D10" s="18"/>
      <c r="E10" s="12"/>
      <c r="F10" s="5"/>
      <c r="G10" s="5"/>
      <c r="H10" s="22" t="s">
        <v>23</v>
      </c>
      <c r="I10" s="23"/>
      <c r="J10" s="23"/>
      <c r="K10" s="23"/>
      <c r="L10" s="24" t="str">
        <f>IF(COUNT(Ques4:Ques16)=13,AVERAGE(Ques4:Ques16),"N/A")</f>
        <v>N/A</v>
      </c>
      <c r="M10" s="23"/>
      <c r="N10" s="22" t="str">
        <f>IF(Symptoms="N/A","Invalid",IF(ROUND(Symptoms,2)&gt;2.91,"Within Normal Limits",IF(ROUND(Symptoms,2)&gt;2.01,"Mild Distress",IF(ROUND(Symptoms,2)&gt;1.56,"Moderate Distress","Severe Distress"))))</f>
        <v>Invalid</v>
      </c>
      <c r="O10" s="5"/>
      <c r="P10" s="5"/>
      <c r="Q10" s="19"/>
    </row>
    <row r="11" spans="1:17" x14ac:dyDescent="0.25">
      <c r="A11" s="19"/>
      <c r="B11" s="4"/>
      <c r="C11" s="11" t="s">
        <v>5</v>
      </c>
      <c r="D11" s="18"/>
      <c r="E11" s="12"/>
      <c r="F11" s="5"/>
      <c r="G11" s="5"/>
      <c r="H11" s="23"/>
      <c r="I11" s="25" t="s">
        <v>24</v>
      </c>
      <c r="J11" s="23"/>
      <c r="K11" s="23"/>
      <c r="L11" s="26" t="str">
        <f>IF(COUNT(Ques4,Ques8,Ques15,Ques16)=4,AVERAGE(Ques4,Ques8,Ques15,Ques16),"N/A")</f>
        <v>N/A</v>
      </c>
      <c r="M11" s="23"/>
      <c r="N11" s="27" t="str">
        <f>IF(Anxiety="N/A","Invalid",IF(ROUND(Anxiety,2)&gt;2.56,"within normal limits",IF(ROUND(Anxiety,2)&gt;1.79,"mild distress",IF(ROUND(Anxiety,2)&gt;1.35,"moderate distress","severe distress"))))</f>
        <v>Invalid</v>
      </c>
      <c r="O11" s="5"/>
      <c r="P11" s="5"/>
      <c r="Q11" s="19"/>
    </row>
    <row r="12" spans="1:17" x14ac:dyDescent="0.25">
      <c r="A12" s="19"/>
      <c r="B12" s="4"/>
      <c r="C12" s="11" t="s">
        <v>6</v>
      </c>
      <c r="D12" s="18"/>
      <c r="E12" s="12"/>
      <c r="F12" s="5"/>
      <c r="G12" s="5"/>
      <c r="H12" s="23"/>
      <c r="I12" s="25" t="s">
        <v>25</v>
      </c>
      <c r="J12" s="23"/>
      <c r="K12" s="23"/>
      <c r="L12" s="26" t="str">
        <f>IF(COUNT(Ques3,Ques7,Ques8,Ques10,Ques11,Ques12)=6,AVERAGE(Ques3,Ques7,Ques8,Ques10,Ques11,Ques12),"N/A")</f>
        <v>N/A</v>
      </c>
      <c r="M12" s="23"/>
      <c r="N12" s="25" t="str">
        <f>IF(Depression="N/A","Invalid",IF(ROUND(Depression,2)&gt;2.84,"within normal limits",IF(ROUND(Depression,2)&gt;2.1,"mild distress",IF(ROUND(Depression,2)&gt;1.7,"moderate distress","severe distress"))))</f>
        <v>Invalid</v>
      </c>
      <c r="O12" s="5"/>
      <c r="P12" s="5"/>
      <c r="Q12" s="19"/>
    </row>
    <row r="13" spans="1:17" x14ac:dyDescent="0.25">
      <c r="A13" s="19"/>
      <c r="B13" s="4"/>
      <c r="C13" s="11" t="s">
        <v>7</v>
      </c>
      <c r="D13" s="18"/>
      <c r="E13" s="12"/>
      <c r="F13" s="5"/>
      <c r="G13" s="5"/>
      <c r="H13" s="23"/>
      <c r="I13" s="25" t="s">
        <v>26</v>
      </c>
      <c r="J13" s="23"/>
      <c r="K13" s="23"/>
      <c r="L13" s="26" t="str">
        <f>IF(COUNT(Ques5,Ques14)=2,AVERAGE(Ques5,Ques14),"N/A")</f>
        <v>N/A</v>
      </c>
      <c r="M13" s="23"/>
      <c r="N13" s="25" t="str">
        <f>IF(Substance="N/A","Invalid",IF(ROUND(Substance,2)&gt;3.5,"within normal limits",IF(ROUND(Substance,2)&gt;3,"mild distress",IF(ROUND(Substance,2)&gt;2,"moderate distress","severe distress"))))</f>
        <v>Invalid</v>
      </c>
      <c r="O13" s="5"/>
      <c r="P13" s="5"/>
      <c r="Q13" s="19"/>
    </row>
    <row r="14" spans="1:17" ht="15" customHeight="1" x14ac:dyDescent="0.25">
      <c r="A14" s="19"/>
      <c r="B14" s="4"/>
      <c r="C14" s="11" t="s">
        <v>8</v>
      </c>
      <c r="D14" s="18"/>
      <c r="E14" s="12"/>
      <c r="F14" s="5"/>
      <c r="G14" s="5"/>
      <c r="H14" s="23"/>
      <c r="I14" s="25" t="s">
        <v>27</v>
      </c>
      <c r="J14" s="23"/>
      <c r="K14" s="23"/>
      <c r="L14" s="26" t="str">
        <f>IF(COUNT(Ques13)=1,AVERAGE(Ques13),"N/A")</f>
        <v>N/A</v>
      </c>
      <c r="M14" s="23"/>
      <c r="N14" s="25" t="str">
        <f>IF(Bipolar="N/A","Invalid",IF(ROUND(Bipolar,2)&gt;2,"within normal limits",IF(ROUND(Bipolar,2)&gt;1,"mild distress",IF(ROUND(Bipolar,2)&gt;0,"moderate distress","severe distress"))))</f>
        <v>Invalid</v>
      </c>
      <c r="O14" s="5"/>
      <c r="P14" s="5"/>
      <c r="Q14" s="19"/>
    </row>
    <row r="15" spans="1:17" ht="15" customHeight="1" x14ac:dyDescent="0.25">
      <c r="A15" s="19"/>
      <c r="B15" s="4"/>
      <c r="C15" s="11" t="s">
        <v>9</v>
      </c>
      <c r="D15" s="18"/>
      <c r="E15" s="12"/>
      <c r="F15" s="5"/>
      <c r="G15" s="5"/>
      <c r="H15" s="23"/>
      <c r="I15" s="25" t="s">
        <v>28</v>
      </c>
      <c r="J15" s="23"/>
      <c r="K15" s="23"/>
      <c r="L15" s="26" t="str">
        <f>IF(COUNT(Ques9)=1,AVERAGE(Ques9),"N/A")</f>
        <v>N/A</v>
      </c>
      <c r="M15" s="23"/>
      <c r="N15" s="25" t="str">
        <f>IF(EatingDO="N/A","Invalid",IF(ROUND(EatingDO,2)&gt;2,"within normal limits",IF(ROUND(EatingDO,2)&gt;1,"mild distress",IF(ROUND(EatingDO,2)&gt;0,"moderate distress","severe distress"))))</f>
        <v>Invalid</v>
      </c>
      <c r="O15" s="5"/>
      <c r="P15" s="5"/>
      <c r="Q15" s="19"/>
    </row>
    <row r="16" spans="1:17" ht="15" customHeight="1" x14ac:dyDescent="0.25">
      <c r="A16" s="19"/>
      <c r="B16" s="4"/>
      <c r="C16" s="11" t="s">
        <v>10</v>
      </c>
      <c r="D16" s="18"/>
      <c r="E16" s="12"/>
      <c r="F16" s="5"/>
      <c r="G16" s="5"/>
      <c r="H16" s="23"/>
      <c r="I16" s="25" t="s">
        <v>29</v>
      </c>
      <c r="J16" s="23"/>
      <c r="K16" s="23"/>
      <c r="L16" s="26" t="str">
        <f>IF(COUNT(Ques6)=1,AVERAGE(Ques6),"N/A")</f>
        <v>N/A</v>
      </c>
      <c r="M16" s="23"/>
      <c r="N16" s="25" t="str">
        <f>IF(Harm="N/A","Invalid",IF(ROUND(Harm,2)&gt;3,"within normal limits",IF(ROUND(Harm,2)&gt;2,"mild distress","severe distress")))</f>
        <v>Invalid</v>
      </c>
      <c r="O16" s="5"/>
      <c r="P16" s="5"/>
      <c r="Q16" s="19"/>
    </row>
    <row r="17" spans="1:17" ht="15" customHeight="1" x14ac:dyDescent="0.25">
      <c r="A17" s="19"/>
      <c r="B17" s="4"/>
      <c r="C17" s="11" t="s">
        <v>11</v>
      </c>
      <c r="D17" s="18"/>
      <c r="E17" s="12"/>
      <c r="F17" s="5"/>
      <c r="G17" s="5"/>
      <c r="H17" s="23"/>
      <c r="I17" s="23"/>
      <c r="J17" s="23"/>
      <c r="K17" s="23"/>
      <c r="L17" s="23"/>
      <c r="M17" s="23"/>
      <c r="N17" s="23"/>
      <c r="O17" s="5"/>
      <c r="P17" s="5"/>
      <c r="Q17" s="19"/>
    </row>
    <row r="18" spans="1:17" ht="15" customHeight="1" x14ac:dyDescent="0.25">
      <c r="A18" s="19"/>
      <c r="B18" s="4"/>
      <c r="C18" s="11" t="s">
        <v>12</v>
      </c>
      <c r="D18" s="18"/>
      <c r="E18" s="12"/>
      <c r="F18" s="5"/>
      <c r="G18" s="5"/>
      <c r="H18" s="22" t="s">
        <v>30</v>
      </c>
      <c r="I18" s="23"/>
      <c r="J18" s="23"/>
      <c r="K18" s="23"/>
      <c r="L18" s="24" t="str">
        <f>IF(COUNT(Ques17:Ques18)=2,AVERAGE(Ques17:Ques20),"N/A")</f>
        <v>N/A</v>
      </c>
      <c r="M18" s="23"/>
      <c r="N18" s="22" t="str">
        <f>IF(Life="N/A","Invalid",IF(ROUND(Life,2)&gt;2.64,"Within Normal Limits",IF(ROUND(Life,2)&gt;1.96,"Mild Distress",IF(ROUND(Life,2)&gt;1.61,"Moderate Distress","Severe Distress"))))</f>
        <v>Invalid</v>
      </c>
      <c r="O18" s="5"/>
      <c r="P18" s="5"/>
      <c r="Q18" s="19"/>
    </row>
    <row r="19" spans="1:17" ht="15" customHeight="1" x14ac:dyDescent="0.25">
      <c r="A19" s="19"/>
      <c r="B19" s="4"/>
      <c r="C19" s="11" t="s">
        <v>13</v>
      </c>
      <c r="D19" s="18"/>
      <c r="E19" s="12"/>
      <c r="F19" s="5"/>
      <c r="G19" s="5"/>
      <c r="H19" s="23"/>
      <c r="I19" s="23"/>
      <c r="J19" s="23"/>
      <c r="K19" s="23"/>
      <c r="L19" s="23"/>
      <c r="M19" s="23"/>
      <c r="N19" s="23"/>
      <c r="O19" s="5"/>
      <c r="P19" s="5"/>
      <c r="Q19" s="19"/>
    </row>
    <row r="20" spans="1:17" ht="15" customHeight="1" x14ac:dyDescent="0.25">
      <c r="A20" s="19"/>
      <c r="B20" s="4"/>
      <c r="C20" s="11" t="s">
        <v>14</v>
      </c>
      <c r="D20" s="18"/>
      <c r="E20" s="12"/>
      <c r="F20" s="5"/>
      <c r="G20" s="5"/>
      <c r="H20" s="22" t="s">
        <v>31</v>
      </c>
      <c r="I20" s="23"/>
      <c r="J20" s="23"/>
      <c r="K20" s="23"/>
      <c r="L20" s="24" t="str">
        <f>IF(OR(COUNT(Ques10,Ques21)=0,ISBLANK(Ques10)=TRUE,AND(Ques10&lt;4,ISBLANK(Ques21)=TRUE)),"N/A",IF(Ques10=0,1,IF(Ques10=1,1,IF(AND(Ques10=2,Ques21&lt;=2),1,IF(AND(Ques10=2,Ques21=3),2,IF(AND(Ques10=2,Ques21=4),3,IF(AND(Ques10=3,Ques21&lt;=2),2,IF(AND(Ques10=3,Ques21&gt;=3),3,4))))))))</f>
        <v>N/A</v>
      </c>
      <c r="M20" s="23"/>
      <c r="N20" s="22" t="str">
        <f>IF(Suicide="N/A","Invalid",IF(Suicide=4,"No Indication of Risk",IF(Suicide=3,"Low Risk",IF(Suicide=2,"Moderate Risk","High Risk"))))</f>
        <v>Invalid</v>
      </c>
      <c r="O20" s="5"/>
      <c r="P20" s="5"/>
      <c r="Q20" s="19"/>
    </row>
    <row r="21" spans="1:17" ht="15" customHeight="1" x14ac:dyDescent="0.25">
      <c r="A21" s="19"/>
      <c r="B21" s="4"/>
      <c r="C21" s="11" t="s">
        <v>15</v>
      </c>
      <c r="D21" s="18"/>
      <c r="E21" s="12"/>
      <c r="F21" s="5"/>
      <c r="G21" s="5"/>
      <c r="H21" s="23"/>
      <c r="I21" s="28" t="str">
        <f>IF(Suicide="N/A","",IF(Suicide=4,"Client indicates no suicidality.",IF(Suicide=3,"Client indicates a low level of suicidality. Client should be monitored.",IF(Suicide=2,"The client indicates a moderate level of suicidality. Client should be monitored closely. " &amp; CHAR(10) &amp; "Clinician should discuss discrepancy between 'thoughts' and 'risk' items on BHM suicide scale."&amp;CHAR(10)&amp;"Consultation with other mental health professionals should be considered.","The client indicates a high level of suicidality and should be monitored closely. A higher level of care and/or consultation with other clinicians should be considered."))))</f>
        <v/>
      </c>
      <c r="J21" s="28"/>
      <c r="K21" s="28"/>
      <c r="L21" s="28"/>
      <c r="M21" s="28"/>
      <c r="N21" s="28"/>
      <c r="O21" s="5"/>
      <c r="P21" s="5"/>
      <c r="Q21" s="19"/>
    </row>
    <row r="22" spans="1:17" x14ac:dyDescent="0.25">
      <c r="A22" s="19"/>
      <c r="B22" s="4"/>
      <c r="C22" s="11" t="s">
        <v>16</v>
      </c>
      <c r="D22" s="18"/>
      <c r="E22" s="12"/>
      <c r="F22" s="5"/>
      <c r="G22" s="5"/>
      <c r="H22" s="23"/>
      <c r="I22" s="28"/>
      <c r="J22" s="28"/>
      <c r="K22" s="28"/>
      <c r="L22" s="28"/>
      <c r="M22" s="28"/>
      <c r="N22" s="28"/>
      <c r="O22" s="5"/>
      <c r="P22" s="5"/>
      <c r="Q22" s="19"/>
    </row>
    <row r="23" spans="1:17" x14ac:dyDescent="0.25">
      <c r="A23" s="19"/>
      <c r="B23" s="4"/>
      <c r="C23" s="11" t="s">
        <v>17</v>
      </c>
      <c r="D23" s="18"/>
      <c r="E23" s="12"/>
      <c r="F23" s="5"/>
      <c r="G23" s="5"/>
      <c r="H23" s="23"/>
      <c r="I23" s="28"/>
      <c r="J23" s="28"/>
      <c r="K23" s="28"/>
      <c r="L23" s="28"/>
      <c r="M23" s="28"/>
      <c r="N23" s="28"/>
      <c r="O23" s="5"/>
      <c r="P23" s="5"/>
      <c r="Q23" s="19"/>
    </row>
    <row r="24" spans="1:17" ht="15" customHeight="1" x14ac:dyDescent="0.25">
      <c r="A24" s="19"/>
      <c r="B24" s="4"/>
      <c r="C24" s="11" t="s">
        <v>18</v>
      </c>
      <c r="D24" s="18"/>
      <c r="E24" s="12"/>
      <c r="F24" s="5"/>
      <c r="G24" s="5"/>
      <c r="H24" s="23"/>
      <c r="I24" s="23"/>
      <c r="J24" s="23"/>
      <c r="K24" s="23"/>
      <c r="L24" s="23"/>
      <c r="M24" s="23"/>
      <c r="N24" s="23"/>
      <c r="O24" s="5"/>
      <c r="P24" s="5"/>
      <c r="Q24" s="19"/>
    </row>
    <row r="25" spans="1:17" ht="15" customHeight="1" x14ac:dyDescent="0.25">
      <c r="A25" s="19"/>
      <c r="B25" s="4"/>
      <c r="C25" s="11" t="s">
        <v>19</v>
      </c>
      <c r="D25" s="18"/>
      <c r="E25" s="12"/>
      <c r="F25" s="5"/>
      <c r="G25" s="5"/>
      <c r="H25" s="29" t="s">
        <v>50</v>
      </c>
      <c r="I25" s="23"/>
      <c r="J25" s="23"/>
      <c r="K25" s="23"/>
      <c r="L25" s="23"/>
      <c r="M25" s="23"/>
      <c r="N25" s="23"/>
      <c r="O25" s="5"/>
      <c r="P25" s="5"/>
      <c r="Q25" s="19"/>
    </row>
    <row r="26" spans="1:17" ht="15" customHeight="1" x14ac:dyDescent="0.25">
      <c r="A26" s="19"/>
      <c r="B26" s="4"/>
      <c r="C26" s="11" t="s">
        <v>20</v>
      </c>
      <c r="D26" s="18"/>
      <c r="E26" s="12"/>
      <c r="F26" s="5"/>
      <c r="G26" s="5"/>
      <c r="H26" s="23"/>
      <c r="I26" s="28" t="str">
        <f>IF(PersEffRating="N/A","",IF(PersEffRating=6,"PERSONAL EFFECTIVENESS indicates that the individual is in excellent behavioral health."&amp;"That is, s/he is able to (a) work, love, and play well; "&amp;"(b) has good emotional well-being; (c) has no significant symptomatology; "&amp;"and (d) should be a very effective individual. "&amp;"This person is more likely to be successful in life's endeavors, for example, work, relationships, and life enjoyment. "&amp;"Personally effective people are better than those within the normal range of functioning.","The client has not yet achieved criteria for Personal Effectiveness."))</f>
        <v/>
      </c>
      <c r="J26" s="28"/>
      <c r="K26" s="28"/>
      <c r="L26" s="28"/>
      <c r="M26" s="28"/>
      <c r="N26" s="28"/>
      <c r="O26" s="5"/>
      <c r="P26" s="5"/>
      <c r="Q26" s="19"/>
    </row>
    <row r="27" spans="1:17" ht="7.5" customHeight="1" thickBot="1" x14ac:dyDescent="0.3">
      <c r="A27" s="19"/>
      <c r="B27" s="4"/>
      <c r="C27" s="13"/>
      <c r="D27" s="15"/>
      <c r="E27" s="14"/>
      <c r="F27" s="5"/>
      <c r="G27" s="5"/>
      <c r="H27" s="5"/>
      <c r="I27" s="21"/>
      <c r="J27" s="21"/>
      <c r="K27" s="21"/>
      <c r="L27" s="21"/>
      <c r="M27" s="21"/>
      <c r="N27" s="21"/>
      <c r="O27" s="5"/>
      <c r="P27" s="5"/>
      <c r="Q27" s="19"/>
    </row>
    <row r="28" spans="1:17" ht="7.5" customHeight="1" thickTop="1" x14ac:dyDescent="0.25">
      <c r="A28" s="19"/>
      <c r="B28" s="4"/>
      <c r="C28" s="16"/>
      <c r="D28" s="17"/>
      <c r="E28" s="7"/>
      <c r="F28" s="5"/>
      <c r="G28" s="5"/>
      <c r="H28" s="5"/>
      <c r="I28" s="21"/>
      <c r="J28" s="21"/>
      <c r="K28" s="21"/>
      <c r="L28" s="21"/>
      <c r="M28" s="21"/>
      <c r="N28" s="21"/>
      <c r="O28" s="5"/>
      <c r="P28" s="5"/>
      <c r="Q28" s="19"/>
    </row>
    <row r="29" spans="1:17" ht="6.75" customHeight="1" x14ac:dyDescent="0.25">
      <c r="A29" s="19"/>
      <c r="B29" s="4"/>
      <c r="C29" s="5"/>
      <c r="D29" s="5"/>
      <c r="E29" s="5"/>
      <c r="F29" s="5"/>
      <c r="G29" s="5"/>
      <c r="H29" s="5"/>
      <c r="I29" s="21"/>
      <c r="J29" s="21"/>
      <c r="K29" s="21"/>
      <c r="L29" s="21"/>
      <c r="M29" s="21"/>
      <c r="N29" s="21"/>
      <c r="O29" s="5"/>
      <c r="P29" s="5"/>
      <c r="Q29" s="19"/>
    </row>
    <row r="30" spans="1:17" ht="48.75" customHeight="1" x14ac:dyDescent="0.25">
      <c r="A30" s="19"/>
      <c r="B30" s="4"/>
      <c r="C30" s="5"/>
      <c r="D30" s="5"/>
      <c r="E30" s="5"/>
      <c r="F30" s="5"/>
      <c r="G30" s="5"/>
      <c r="H30" s="5"/>
      <c r="I30" s="21"/>
      <c r="J30" s="21"/>
      <c r="K30" s="21"/>
      <c r="L30" s="21"/>
      <c r="M30" s="21"/>
      <c r="N30" s="21"/>
      <c r="O30" s="5"/>
      <c r="P30" s="5"/>
      <c r="Q30" s="19"/>
    </row>
    <row r="31" spans="1:17" x14ac:dyDescent="0.25">
      <c r="A31" s="19"/>
      <c r="B31" s="4"/>
      <c r="C31" s="5"/>
      <c r="D31" s="5"/>
      <c r="E31" s="5"/>
      <c r="F31" s="5"/>
      <c r="G31" s="5"/>
      <c r="H31" s="5"/>
      <c r="I31" s="21"/>
      <c r="J31" s="21"/>
      <c r="K31" s="21"/>
      <c r="L31" s="21"/>
      <c r="M31" s="21"/>
      <c r="N31" s="21"/>
      <c r="O31" s="5"/>
      <c r="P31" s="5"/>
      <c r="Q31" s="19"/>
    </row>
    <row r="32" spans="1:17" x14ac:dyDescent="0.25">
      <c r="A32" s="19"/>
      <c r="B32" s="4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19"/>
    </row>
    <row r="33" spans="1:17" x14ac:dyDescent="0.25">
      <c r="A33" s="19"/>
      <c r="B33" s="4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19"/>
    </row>
    <row r="34" spans="1:17" x14ac:dyDescent="0.25">
      <c r="A34" s="19"/>
      <c r="B34" s="4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19"/>
    </row>
    <row r="35" spans="1:17" ht="7.5" customHeight="1" x14ac:dyDescent="0.25">
      <c r="A35" s="19"/>
      <c r="B35" s="20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</row>
    <row r="42" spans="1:17" x14ac:dyDescent="0.25">
      <c r="I42" s="3" t="s">
        <v>41</v>
      </c>
    </row>
    <row r="43" spans="1:17" x14ac:dyDescent="0.25">
      <c r="D43">
        <f>Ques4</f>
        <v>0</v>
      </c>
      <c r="I43" t="s">
        <v>32</v>
      </c>
      <c r="L43" t="str">
        <f>IF(GlobalMH="N/A","N/A",SUM(PersEffSubscales))</f>
        <v>N/A</v>
      </c>
      <c r="N43" s="3" t="s">
        <v>42</v>
      </c>
    </row>
    <row r="44" spans="1:17" x14ac:dyDescent="0.25">
      <c r="D44">
        <f>Ques7</f>
        <v>0</v>
      </c>
      <c r="I44" t="s">
        <v>33</v>
      </c>
      <c r="L44">
        <f>IF(Ques10=4,1,0)</f>
        <v>0</v>
      </c>
      <c r="N44" s="3" t="s">
        <v>43</v>
      </c>
    </row>
    <row r="45" spans="1:17" x14ac:dyDescent="0.25">
      <c r="D45">
        <f>Ques8</f>
        <v>0</v>
      </c>
      <c r="I45" t="s">
        <v>34</v>
      </c>
      <c r="L45">
        <f>IF(Ques6=4,1,0)</f>
        <v>0</v>
      </c>
      <c r="N45" s="3" t="s">
        <v>44</v>
      </c>
    </row>
    <row r="46" spans="1:17" x14ac:dyDescent="0.25">
      <c r="D46">
        <f>Ques9</f>
        <v>0</v>
      </c>
      <c r="I46" t="s">
        <v>35</v>
      </c>
      <c r="L46">
        <f>IF(AND(Ques5=4,Ques14=4),1,0)</f>
        <v>0</v>
      </c>
      <c r="N46" s="3" t="s">
        <v>45</v>
      </c>
    </row>
    <row r="47" spans="1:17" x14ac:dyDescent="0.25">
      <c r="D47">
        <f>Ques11</f>
        <v>0</v>
      </c>
      <c r="I47" t="s">
        <v>36</v>
      </c>
      <c r="L47" s="2">
        <f>IF(AND(Ques1&gt;=3,Ques2&gt;=3,Ques3&gt;=3,Ques17&gt;=3,Ques18&gt;=3,OR(Ques19&gt;=3,Ques19="")),1,0)</f>
        <v>0</v>
      </c>
      <c r="N47" s="3" t="s">
        <v>46</v>
      </c>
    </row>
    <row r="48" spans="1:17" x14ac:dyDescent="0.25">
      <c r="D48">
        <f>Ques12</f>
        <v>0</v>
      </c>
      <c r="I48" t="s">
        <v>37</v>
      </c>
      <c r="L48">
        <f>IF(AND(COUNTIF(PersEff,1)=0,COUNTIF(PersEff,2)&lt;=2),1,0)</f>
        <v>1</v>
      </c>
      <c r="N48" s="3" t="s">
        <v>47</v>
      </c>
    </row>
    <row r="49" spans="4:14" x14ac:dyDescent="0.25">
      <c r="D49">
        <f>Ques13</f>
        <v>0</v>
      </c>
      <c r="I49" t="s">
        <v>38</v>
      </c>
      <c r="L49" s="2">
        <f>IF(COUNTIF(PersEff,"&gt;="&amp;3)&gt;=7,1,0)</f>
        <v>0</v>
      </c>
      <c r="N49" s="3" t="s">
        <v>48</v>
      </c>
    </row>
    <row r="50" spans="4:14" x14ac:dyDescent="0.25">
      <c r="D50">
        <f>Ques15</f>
        <v>0</v>
      </c>
      <c r="I50" t="s">
        <v>39</v>
      </c>
    </row>
    <row r="51" spans="4:14" x14ac:dyDescent="0.25">
      <c r="D51">
        <f>Ques16</f>
        <v>0</v>
      </c>
      <c r="I51" t="s">
        <v>40</v>
      </c>
    </row>
  </sheetData>
  <sheetProtection sheet="1" objects="1" scenarios="1" selectLockedCells="1"/>
  <mergeCells count="2">
    <mergeCell ref="I21:N23"/>
    <mergeCell ref="I26:N31"/>
  </mergeCells>
  <conditionalFormatting sqref="I21">
    <cfRule type="expression" dxfId="7" priority="1">
      <formula>Suicide&lt;2</formula>
    </cfRule>
    <cfRule type="expression" dxfId="6" priority="2">
      <formula>Suicide=2</formula>
    </cfRule>
    <cfRule type="expression" dxfId="5" priority="3">
      <formula>Suicide=3</formula>
    </cfRule>
    <cfRule type="expression" dxfId="4" priority="4">
      <formula>Suicide=4</formula>
    </cfRule>
    <cfRule type="expression" dxfId="3" priority="6">
      <formula>Suicide=2</formula>
    </cfRule>
    <cfRule type="expression" dxfId="2" priority="5">
      <formula>Suicide&lt;2</formula>
    </cfRule>
    <cfRule type="expression" dxfId="1" priority="7">
      <formula>Suicide=3</formula>
    </cfRule>
    <cfRule type="expression" dxfId="0" priority="8">
      <formula>Suicide=4</formula>
    </cfRule>
  </conditionalFormatting>
  <dataValidations count="1">
    <dataValidation type="list" allowBlank="1" showInputMessage="1" showErrorMessage="1" sqref="D6:D26">
      <formula1>"1,2,3,4"</formula1>
    </dataValidation>
  </dataValidations>
  <pageMargins left="0.7" right="0.7" top="0.75" bottom="0.75" header="0.3" footer="0.3"/>
  <pageSetup orientation="portrait" r:id="rId1"/>
  <ignoredErrors>
    <ignoredError sqref="C20:C26 C6:C19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etScores">
                <anchor moveWithCells="1" sizeWithCells="1">
                  <from>
                    <xdr:col>11</xdr:col>
                    <xdr:colOff>47625</xdr:colOff>
                    <xdr:row>2</xdr:row>
                    <xdr:rowOff>19050</xdr:rowOff>
                  </from>
                  <to>
                    <xdr:col>13</xdr:col>
                    <xdr:colOff>1304925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CopyResults">
                <anchor moveWithCells="1" sizeWithCells="1">
                  <from>
                    <xdr:col>13</xdr:col>
                    <xdr:colOff>3495675</xdr:colOff>
                    <xdr:row>1</xdr:row>
                    <xdr:rowOff>180975</xdr:rowOff>
                  </from>
                  <to>
                    <xdr:col>14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38</vt:i4>
      </vt:variant>
    </vt:vector>
  </HeadingPairs>
  <TitlesOfParts>
    <vt:vector size="39" baseType="lpstr">
      <vt:lpstr>BHM-20</vt:lpstr>
      <vt:lpstr>altrng</vt:lpstr>
      <vt:lpstr>Anxiety</vt:lpstr>
      <vt:lpstr>Bipolar</vt:lpstr>
      <vt:lpstr>Depression</vt:lpstr>
      <vt:lpstr>EatingDO</vt:lpstr>
      <vt:lpstr>Global</vt:lpstr>
      <vt:lpstr>GlobalMentalHealth</vt:lpstr>
      <vt:lpstr>GlobalMH</vt:lpstr>
      <vt:lpstr>Harm</vt:lpstr>
      <vt:lpstr>Life</vt:lpstr>
      <vt:lpstr>PersEff</vt:lpstr>
      <vt:lpstr>PersEffRating</vt:lpstr>
      <vt:lpstr>PersEffSubscales</vt:lpstr>
      <vt:lpstr>Ques1</vt:lpstr>
      <vt:lpstr>Ques10</vt:lpstr>
      <vt:lpstr>Ques11</vt:lpstr>
      <vt:lpstr>Ques12</vt:lpstr>
      <vt:lpstr>Ques13</vt:lpstr>
      <vt:lpstr>Ques14</vt:lpstr>
      <vt:lpstr>Ques15</vt:lpstr>
      <vt:lpstr>Ques16</vt:lpstr>
      <vt:lpstr>Ques17</vt:lpstr>
      <vt:lpstr>Ques18</vt:lpstr>
      <vt:lpstr>Ques19</vt:lpstr>
      <vt:lpstr>Ques2</vt:lpstr>
      <vt:lpstr>Ques20</vt:lpstr>
      <vt:lpstr>Ques21</vt:lpstr>
      <vt:lpstr>Ques3</vt:lpstr>
      <vt:lpstr>Ques4</vt:lpstr>
      <vt:lpstr>Ques5</vt:lpstr>
      <vt:lpstr>Ques6</vt:lpstr>
      <vt:lpstr>Ques7</vt:lpstr>
      <vt:lpstr>Ques8</vt:lpstr>
      <vt:lpstr>Ques9</vt:lpstr>
      <vt:lpstr>Substance</vt:lpstr>
      <vt:lpstr>Suicide</vt:lpstr>
      <vt:lpstr>Symptoms</vt:lpstr>
      <vt:lpstr>WellBeing</vt:lpstr>
    </vt:vector>
  </TitlesOfParts>
  <Company>U.S. Air Force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ALT, DAVID A Capt USAF AETC 47 MDOS/SGOP</dc:creator>
  <cp:lastModifiedBy>ALT, DAVID A Capt USAF AETC 47 MDOS/SGOP</cp:lastModifiedBy>
  <dcterms:created xsi:type="dcterms:W3CDTF">2017-04-27T21:41:17Z</dcterms:created>
  <dcterms:modified xsi:type="dcterms:W3CDTF">2017-05-21T18:54:05Z</dcterms:modified>
</cp:coreProperties>
</file>